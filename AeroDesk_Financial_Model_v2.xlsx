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848771e9b4f96367/Documentos/AeroDesk/"/>
    </mc:Choice>
  </mc:AlternateContent>
  <xr:revisionPtr revIDLastSave="6" documentId="8_{5AE5C70D-E255-4065-9890-05E69C64119B}" xr6:coauthVersionLast="47" xr6:coauthVersionMax="47" xr10:uidLastSave="{41D1A8E0-C0FA-4A0D-977D-A694058385B2}"/>
  <bookViews>
    <workbookView xWindow="-120" yWindow="-16320" windowWidth="29040" windowHeight="15720" tabRatio="500" activeTab="5" xr2:uid="{00000000-000D-0000-FFFF-FFFF00000000}"/>
  </bookViews>
  <sheets>
    <sheet name="Assumptions" sheetId="1" r:id="rId1"/>
    <sheet name="Revenue Detail" sheetId="2" r:id="rId2"/>
    <sheet name="Income Statement" sheetId="3" r:id="rId3"/>
    <sheet name="Balance Sheet" sheetId="4" r:id="rId4"/>
    <sheet name="Cash Flow" sheetId="5" r:id="rId5"/>
    <sheet name="IRR &amp; Returns" sheetId="6" r:id="rId6"/>
    <sheet name="Sensitivity" sheetId="7" r:id="rId7"/>
    <sheet name="Dashboard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4" i="1" l="1"/>
  <c r="G10" i="8"/>
  <c r="F10" i="8"/>
  <c r="E10" i="8"/>
  <c r="D10" i="8"/>
  <c r="C10" i="8"/>
  <c r="B10" i="8"/>
  <c r="C19" i="6"/>
  <c r="B15" i="6"/>
  <c r="B9" i="6"/>
  <c r="F5" i="6"/>
  <c r="C5" i="6"/>
  <c r="G15" i="5"/>
  <c r="F15" i="5"/>
  <c r="E15" i="5"/>
  <c r="D15" i="5"/>
  <c r="C15" i="5"/>
  <c r="B14" i="5"/>
  <c r="B15" i="5" s="1"/>
  <c r="G11" i="5"/>
  <c r="F11" i="5"/>
  <c r="D11" i="5"/>
  <c r="G10" i="5"/>
  <c r="G5" i="6" s="1"/>
  <c r="F10" i="5"/>
  <c r="E10" i="5"/>
  <c r="E5" i="6" s="1"/>
  <c r="D10" i="5"/>
  <c r="D5" i="6" s="1"/>
  <c r="C10" i="5"/>
  <c r="C11" i="5" s="1"/>
  <c r="B10" i="5"/>
  <c r="B11" i="5" s="1"/>
  <c r="C5" i="5"/>
  <c r="G19" i="4"/>
  <c r="F19" i="4"/>
  <c r="E19" i="4"/>
  <c r="D19" i="4"/>
  <c r="C19" i="4"/>
  <c r="B19" i="4"/>
  <c r="B21" i="4" s="1"/>
  <c r="B16" i="4"/>
  <c r="B23" i="4" s="1"/>
  <c r="B9" i="4"/>
  <c r="G28" i="3"/>
  <c r="G5" i="5" s="1"/>
  <c r="F28" i="3"/>
  <c r="F5" i="5" s="1"/>
  <c r="E28" i="3"/>
  <c r="E5" i="5" s="1"/>
  <c r="D28" i="3"/>
  <c r="D5" i="5" s="1"/>
  <c r="C28" i="3"/>
  <c r="C9" i="4" s="1"/>
  <c r="D9" i="4" s="1"/>
  <c r="E9" i="4" s="1"/>
  <c r="F9" i="4" s="1"/>
  <c r="G9" i="4" s="1"/>
  <c r="B28" i="3"/>
  <c r="B5" i="5" s="1"/>
  <c r="G16" i="3"/>
  <c r="F16" i="3"/>
  <c r="E16" i="3"/>
  <c r="D16" i="3"/>
  <c r="C16" i="3"/>
  <c r="B16" i="3"/>
  <c r="B23" i="3" s="1"/>
  <c r="B7" i="8" s="1"/>
  <c r="G8" i="3"/>
  <c r="F8" i="3"/>
  <c r="E8" i="3"/>
  <c r="D8" i="3"/>
  <c r="C8" i="3"/>
  <c r="B8" i="3"/>
  <c r="B11" i="3" s="1"/>
  <c r="B4" i="3"/>
  <c r="B4" i="8" s="1"/>
  <c r="D38" i="2"/>
  <c r="G37" i="2"/>
  <c r="G38" i="2" s="1"/>
  <c r="H69" i="8" s="1"/>
  <c r="F37" i="2"/>
  <c r="E37" i="2"/>
  <c r="D37" i="2"/>
  <c r="C37" i="2"/>
  <c r="C38" i="2" s="1"/>
  <c r="G36" i="2"/>
  <c r="F36" i="2"/>
  <c r="F38" i="2" s="1"/>
  <c r="E36" i="2"/>
  <c r="E38" i="2" s="1"/>
  <c r="D36" i="2"/>
  <c r="C36" i="2"/>
  <c r="B36" i="2"/>
  <c r="D33" i="2"/>
  <c r="G32" i="2"/>
  <c r="G33" i="2" s="1"/>
  <c r="G69" i="8" s="1"/>
  <c r="F32" i="2"/>
  <c r="E32" i="2"/>
  <c r="D32" i="2"/>
  <c r="C32" i="2"/>
  <c r="C33" i="2" s="1"/>
  <c r="G31" i="2"/>
  <c r="F31" i="2"/>
  <c r="F33" i="2" s="1"/>
  <c r="E31" i="2"/>
  <c r="E33" i="2" s="1"/>
  <c r="D31" i="2"/>
  <c r="C31" i="2"/>
  <c r="B31" i="2"/>
  <c r="D28" i="2"/>
  <c r="G27" i="2"/>
  <c r="G28" i="2" s="1"/>
  <c r="F69" i="8" s="1"/>
  <c r="F27" i="2"/>
  <c r="E27" i="2"/>
  <c r="D27" i="2"/>
  <c r="C27" i="2"/>
  <c r="G26" i="2"/>
  <c r="F26" i="2"/>
  <c r="F28" i="2" s="1"/>
  <c r="E26" i="2"/>
  <c r="D26" i="2"/>
  <c r="C26" i="2"/>
  <c r="G25" i="2"/>
  <c r="F25" i="2"/>
  <c r="E25" i="2"/>
  <c r="E28" i="2" s="1"/>
  <c r="D25" i="2"/>
  <c r="C25" i="2"/>
  <c r="C28" i="2" s="1"/>
  <c r="F22" i="2"/>
  <c r="G21" i="2"/>
  <c r="F21" i="2"/>
  <c r="E21" i="2"/>
  <c r="D21" i="2"/>
  <c r="C21" i="2"/>
  <c r="C22" i="2" s="1"/>
  <c r="G20" i="2"/>
  <c r="F20" i="2"/>
  <c r="E20" i="2"/>
  <c r="D20" i="2"/>
  <c r="D22" i="2" s="1"/>
  <c r="C20" i="2"/>
  <c r="G19" i="2"/>
  <c r="G22" i="2" s="1"/>
  <c r="E69" i="8" s="1"/>
  <c r="F19" i="2"/>
  <c r="E19" i="2"/>
  <c r="E22" i="2" s="1"/>
  <c r="D19" i="2"/>
  <c r="C19" i="2"/>
  <c r="B19" i="2"/>
  <c r="E16" i="2"/>
  <c r="C16" i="2"/>
  <c r="G15" i="2"/>
  <c r="F15" i="2"/>
  <c r="E15" i="2"/>
  <c r="D15" i="2"/>
  <c r="D16" i="2" s="1"/>
  <c r="C15" i="2"/>
  <c r="G14" i="2"/>
  <c r="G16" i="2" s="1"/>
  <c r="D69" i="8" s="1"/>
  <c r="F14" i="2"/>
  <c r="F16" i="2" s="1"/>
  <c r="E14" i="2"/>
  <c r="D14" i="2"/>
  <c r="C14" i="2"/>
  <c r="B14" i="2"/>
  <c r="E11" i="2"/>
  <c r="C11" i="2"/>
  <c r="G10" i="2"/>
  <c r="F10" i="2"/>
  <c r="E10" i="2"/>
  <c r="D10" i="2"/>
  <c r="D11" i="2" s="1"/>
  <c r="C10" i="2"/>
  <c r="G9" i="2"/>
  <c r="G11" i="2" s="1"/>
  <c r="C69" i="8" s="1"/>
  <c r="F9" i="2"/>
  <c r="F11" i="2" s="1"/>
  <c r="E9" i="2"/>
  <c r="D9" i="2"/>
  <c r="C9" i="2"/>
  <c r="B9" i="2"/>
  <c r="E6" i="2"/>
  <c r="C6" i="2"/>
  <c r="C41" i="2" s="1"/>
  <c r="G5" i="2"/>
  <c r="F5" i="2"/>
  <c r="E5" i="2"/>
  <c r="D5" i="2"/>
  <c r="D6" i="2" s="1"/>
  <c r="C5" i="2"/>
  <c r="G4" i="2"/>
  <c r="G6" i="2" s="1"/>
  <c r="F4" i="2"/>
  <c r="F6" i="2" s="1"/>
  <c r="E4" i="2"/>
  <c r="D4" i="2"/>
  <c r="C4" i="2"/>
  <c r="B4" i="2"/>
  <c r="E8" i="1"/>
  <c r="E19" i="6" s="1"/>
  <c r="D8" i="1"/>
  <c r="D19" i="6" s="1"/>
  <c r="D6" i="1"/>
  <c r="E6" i="1" s="1"/>
  <c r="F6" i="1" s="1"/>
  <c r="G6" i="1" s="1"/>
  <c r="E4" i="1"/>
  <c r="F4" i="1" s="1"/>
  <c r="G4" i="1" s="1"/>
  <c r="D41" i="2" l="1"/>
  <c r="B12" i="3"/>
  <c r="B5" i="8"/>
  <c r="C50" i="2"/>
  <c r="C45" i="2"/>
  <c r="C4" i="3"/>
  <c r="C48" i="2"/>
  <c r="C46" i="2"/>
  <c r="C20" i="6"/>
  <c r="C47" i="2"/>
  <c r="C49" i="2"/>
  <c r="C44" i="2"/>
  <c r="F41" i="2"/>
  <c r="E41" i="2"/>
  <c r="G41" i="2"/>
  <c r="B69" i="8"/>
  <c r="F8" i="1"/>
  <c r="E11" i="5"/>
  <c r="B5" i="6"/>
  <c r="B12" i="6"/>
  <c r="G8" i="1" l="1"/>
  <c r="G19" i="6" s="1"/>
  <c r="F19" i="6"/>
  <c r="F21" i="6" s="1"/>
  <c r="C23" i="6"/>
  <c r="C21" i="6"/>
  <c r="G46" i="2"/>
  <c r="G49" i="2"/>
  <c r="G44" i="2"/>
  <c r="G47" i="2"/>
  <c r="G50" i="2"/>
  <c r="G45" i="2"/>
  <c r="G4" i="3"/>
  <c r="G48" i="2"/>
  <c r="G20" i="6"/>
  <c r="G23" i="6" s="1"/>
  <c r="B25" i="3"/>
  <c r="B6" i="8"/>
  <c r="E4" i="3"/>
  <c r="E48" i="2"/>
  <c r="E20" i="6"/>
  <c r="E45" i="2"/>
  <c r="E46" i="2"/>
  <c r="E44" i="2"/>
  <c r="E49" i="2"/>
  <c r="E47" i="2"/>
  <c r="E50" i="2"/>
  <c r="C4" i="8"/>
  <c r="C17" i="3"/>
  <c r="C23" i="3" s="1"/>
  <c r="C7" i="8" s="1"/>
  <c r="C5" i="4"/>
  <c r="C7" i="3"/>
  <c r="C11" i="3" s="1"/>
  <c r="F20" i="6"/>
  <c r="F23" i="6" s="1"/>
  <c r="F48" i="2"/>
  <c r="F46" i="2"/>
  <c r="F49" i="2"/>
  <c r="F47" i="2"/>
  <c r="F44" i="2"/>
  <c r="F50" i="2"/>
  <c r="F4" i="3"/>
  <c r="F45" i="2"/>
  <c r="D45" i="2"/>
  <c r="D4" i="3"/>
  <c r="D48" i="2"/>
  <c r="D50" i="2"/>
  <c r="D20" i="6"/>
  <c r="D49" i="2"/>
  <c r="D46" i="2"/>
  <c r="D44" i="2"/>
  <c r="D47" i="2"/>
  <c r="E23" i="6" l="1"/>
  <c r="E21" i="6"/>
  <c r="E4" i="8"/>
  <c r="E17" i="3"/>
  <c r="E23" i="3" s="1"/>
  <c r="E7" i="8" s="1"/>
  <c r="E5" i="4"/>
  <c r="E7" i="3"/>
  <c r="E11" i="3" s="1"/>
  <c r="D23" i="6"/>
  <c r="D21" i="6"/>
  <c r="C5" i="8"/>
  <c r="C13" i="4"/>
  <c r="C16" i="4" s="1"/>
  <c r="C6" i="5"/>
  <c r="B8" i="8"/>
  <c r="B29" i="3"/>
  <c r="B31" i="3" s="1"/>
  <c r="B33" i="3" s="1"/>
  <c r="C12" i="3"/>
  <c r="D4" i="8"/>
  <c r="D17" i="3"/>
  <c r="D23" i="3" s="1"/>
  <c r="D7" i="8" s="1"/>
  <c r="D5" i="4"/>
  <c r="D7" i="3"/>
  <c r="D11" i="3" s="1"/>
  <c r="G5" i="4"/>
  <c r="G7" i="3"/>
  <c r="G11" i="3" s="1"/>
  <c r="G17" i="3"/>
  <c r="G23" i="3" s="1"/>
  <c r="G7" i="8" s="1"/>
  <c r="G12" i="3"/>
  <c r="G4" i="8"/>
  <c r="F17" i="3"/>
  <c r="F23" i="3" s="1"/>
  <c r="F7" i="8" s="1"/>
  <c r="F5" i="4"/>
  <c r="F7" i="3"/>
  <c r="F11" i="3" s="1"/>
  <c r="F12" i="3" s="1"/>
  <c r="F4" i="8"/>
  <c r="G21" i="6"/>
  <c r="F6" i="8" l="1"/>
  <c r="F25" i="3"/>
  <c r="F13" i="3"/>
  <c r="E5" i="8"/>
  <c r="E13" i="4"/>
  <c r="E16" i="4" s="1"/>
  <c r="G5" i="8"/>
  <c r="G13" i="4"/>
  <c r="G16" i="4" s="1"/>
  <c r="E6" i="5"/>
  <c r="G6" i="5"/>
  <c r="D6" i="5"/>
  <c r="E12" i="3"/>
  <c r="F14" i="8"/>
  <c r="C6" i="8"/>
  <c r="C14" i="8" s="1"/>
  <c r="C25" i="3"/>
  <c r="C13" i="3"/>
  <c r="G6" i="8"/>
  <c r="G25" i="3"/>
  <c r="G13" i="3"/>
  <c r="G14" i="8"/>
  <c r="D5" i="8"/>
  <c r="D13" i="4"/>
  <c r="D16" i="4" s="1"/>
  <c r="B9" i="8"/>
  <c r="B4" i="5"/>
  <c r="B7" i="5" s="1"/>
  <c r="F5" i="8"/>
  <c r="F13" i="4"/>
  <c r="F16" i="4" s="1"/>
  <c r="F6" i="5"/>
  <c r="D12" i="3"/>
  <c r="B4" i="6" l="1"/>
  <c r="B6" i="6" s="1"/>
  <c r="B17" i="5"/>
  <c r="B20" i="5" s="1"/>
  <c r="D6" i="8"/>
  <c r="D14" i="8" s="1"/>
  <c r="D25" i="3"/>
  <c r="D13" i="3"/>
  <c r="B9" i="7"/>
  <c r="D7" i="7"/>
  <c r="F5" i="7"/>
  <c r="F8" i="7"/>
  <c r="C7" i="7"/>
  <c r="E5" i="7"/>
  <c r="E8" i="7"/>
  <c r="B7" i="7"/>
  <c r="D5" i="7"/>
  <c r="G11" i="6"/>
  <c r="B16" i="6" s="1"/>
  <c r="G29" i="3"/>
  <c r="G31" i="3" s="1"/>
  <c r="D8" i="7"/>
  <c r="F6" i="7"/>
  <c r="C5" i="7"/>
  <c r="F9" i="7"/>
  <c r="C8" i="7"/>
  <c r="E6" i="7"/>
  <c r="B5" i="7"/>
  <c r="E9" i="7"/>
  <c r="B8" i="7"/>
  <c r="D6" i="7"/>
  <c r="G8" i="8"/>
  <c r="G15" i="8" s="1"/>
  <c r="D9" i="7"/>
  <c r="F7" i="7"/>
  <c r="C6" i="7"/>
  <c r="C9" i="7"/>
  <c r="E7" i="7"/>
  <c r="B6" i="7"/>
  <c r="G26" i="3"/>
  <c r="E6" i="8"/>
  <c r="E14" i="8" s="1"/>
  <c r="E25" i="3"/>
  <c r="E13" i="3"/>
  <c r="C8" i="8"/>
  <c r="C15" i="8" s="1"/>
  <c r="C29" i="3"/>
  <c r="C31" i="3" s="1"/>
  <c r="C26" i="3"/>
  <c r="F29" i="3"/>
  <c r="F31" i="3" s="1"/>
  <c r="F8" i="8"/>
  <c r="F15" i="8" s="1"/>
  <c r="F26" i="3"/>
  <c r="E8" i="8" l="1"/>
  <c r="E15" i="8" s="1"/>
  <c r="E29" i="3"/>
  <c r="E31" i="3" s="1"/>
  <c r="E26" i="3"/>
  <c r="F32" i="3"/>
  <c r="F33" i="3"/>
  <c r="D8" i="8"/>
  <c r="D15" i="8" s="1"/>
  <c r="D29" i="3"/>
  <c r="D31" i="3" s="1"/>
  <c r="D26" i="3"/>
  <c r="G32" i="3"/>
  <c r="G33" i="3"/>
  <c r="C32" i="3"/>
  <c r="C33" i="3"/>
  <c r="B4" i="4"/>
  <c r="C19" i="5"/>
  <c r="B10" i="6"/>
  <c r="B11" i="8"/>
  <c r="D32" i="3" l="1"/>
  <c r="D33" i="3" s="1"/>
  <c r="B7" i="4"/>
  <c r="B10" i="4" s="1"/>
  <c r="B25" i="4" s="1"/>
  <c r="B12" i="8"/>
  <c r="F9" i="8"/>
  <c r="F16" i="8" s="1"/>
  <c r="F4" i="5"/>
  <c r="F7" i="5" s="1"/>
  <c r="F34" i="3"/>
  <c r="C9" i="8"/>
  <c r="C16" i="8" s="1"/>
  <c r="C4" i="5"/>
  <c r="C7" i="5" s="1"/>
  <c r="C20" i="4"/>
  <c r="C34" i="3"/>
  <c r="G9" i="8"/>
  <c r="G16" i="8" s="1"/>
  <c r="G4" i="5"/>
  <c r="G7" i="5" s="1"/>
  <c r="G34" i="3"/>
  <c r="E32" i="3"/>
  <c r="E33" i="3" s="1"/>
  <c r="D9" i="8" l="1"/>
  <c r="D16" i="8" s="1"/>
  <c r="D4" i="5"/>
  <c r="D7" i="5" s="1"/>
  <c r="D34" i="3"/>
  <c r="E9" i="8"/>
  <c r="E16" i="8" s="1"/>
  <c r="E4" i="5"/>
  <c r="E7" i="5" s="1"/>
  <c r="E34" i="3"/>
  <c r="F17" i="5"/>
  <c r="F4" i="6"/>
  <c r="F6" i="6" s="1"/>
  <c r="G4" i="6"/>
  <c r="G6" i="6" s="1"/>
  <c r="G17" i="5"/>
  <c r="C21" i="4"/>
  <c r="C23" i="4" s="1"/>
  <c r="D20" i="4"/>
  <c r="C4" i="6"/>
  <c r="C6" i="6" s="1"/>
  <c r="C17" i="5"/>
  <c r="C20" i="5" s="1"/>
  <c r="F10" i="6" l="1"/>
  <c r="F12" i="6" s="1"/>
  <c r="F11" i="8"/>
  <c r="C4" i="4"/>
  <c r="D19" i="5"/>
  <c r="C11" i="8"/>
  <c r="C10" i="6"/>
  <c r="C12" i="6" s="1"/>
  <c r="E4" i="6"/>
  <c r="E6" i="6" s="1"/>
  <c r="E17" i="5"/>
  <c r="E20" i="4"/>
  <c r="D21" i="4"/>
  <c r="D23" i="4" s="1"/>
  <c r="D4" i="6"/>
  <c r="D6" i="6" s="1"/>
  <c r="D17" i="5"/>
  <c r="G10" i="6"/>
  <c r="G12" i="6" s="1"/>
  <c r="G11" i="8"/>
  <c r="E10" i="6" l="1"/>
  <c r="E12" i="6" s="1"/>
  <c r="E11" i="8"/>
  <c r="B14" i="6"/>
  <c r="D20" i="5"/>
  <c r="D10" i="6"/>
  <c r="D12" i="6" s="1"/>
  <c r="D11" i="8"/>
  <c r="C12" i="8"/>
  <c r="C7" i="4"/>
  <c r="C10" i="4" s="1"/>
  <c r="C25" i="4" s="1"/>
  <c r="F20" i="4"/>
  <c r="E21" i="4"/>
  <c r="E23" i="4" s="1"/>
  <c r="D4" i="4" l="1"/>
  <c r="E19" i="5"/>
  <c r="E20" i="5" s="1"/>
  <c r="G20" i="4"/>
  <c r="G21" i="4" s="1"/>
  <c r="G23" i="4" s="1"/>
  <c r="F21" i="4"/>
  <c r="F23" i="4" s="1"/>
  <c r="D12" i="8" l="1"/>
  <c r="D7" i="4"/>
  <c r="D10" i="4" s="1"/>
  <c r="D25" i="4" s="1"/>
  <c r="E4" i="4"/>
  <c r="F19" i="5"/>
  <c r="F20" i="5" s="1"/>
  <c r="E12" i="8" l="1"/>
  <c r="E7" i="4"/>
  <c r="E10" i="4" s="1"/>
  <c r="E25" i="4" s="1"/>
  <c r="G19" i="5"/>
  <c r="G20" i="5" s="1"/>
  <c r="G4" i="4" s="1"/>
  <c r="F4" i="4"/>
  <c r="F7" i="4" l="1"/>
  <c r="F10" i="4" s="1"/>
  <c r="F25" i="4" s="1"/>
  <c r="F12" i="8"/>
  <c r="G7" i="4"/>
  <c r="G10" i="4" s="1"/>
  <c r="G25" i="4" s="1"/>
  <c r="G12" i="8"/>
</calcChain>
</file>

<file path=xl/sharedStrings.xml><?xml version="1.0" encoding="utf-8"?>
<sst xmlns="http://schemas.openxmlformats.org/spreadsheetml/2006/main" count="276" uniqueCount="225">
  <si>
    <t>AeroDesk — Key Assumptions (v2.0)</t>
  </si>
  <si>
    <t>Year 0</t>
  </si>
  <si>
    <t>Year 1</t>
  </si>
  <si>
    <t>Year 2</t>
  </si>
  <si>
    <t>Year 3</t>
  </si>
  <si>
    <t>Year 4</t>
  </si>
  <si>
    <t>Year 5</t>
  </si>
  <si>
    <t>Notes</t>
  </si>
  <si>
    <t>MARKET</t>
  </si>
  <si>
    <t>Global Used Aircraft Mkt (USD B)</t>
  </si>
  <si>
    <t>MRFR 2025</t>
  </si>
  <si>
    <t>Market CAGR</t>
  </si>
  <si>
    <t>Brazil Exec Aircraft Fleet</t>
  </si>
  <si>
    <t>ANAC 9824+2.4%</t>
  </si>
  <si>
    <t>Brazil Fleet Growth</t>
  </si>
  <si>
    <t>Online Aircraft Mktplace TAM (USD M)</t>
  </si>
  <si>
    <t>~2% of total mkt</t>
  </si>
  <si>
    <t>PLATFORM KPIs</t>
  </si>
  <si>
    <t>Active Dealer Subscribers</t>
  </si>
  <si>
    <t>Total Active Listings</t>
  </si>
  <si>
    <t>Monthly Unique Visitors</t>
  </si>
  <si>
    <t>Avg Listing Value (USD)</t>
  </si>
  <si>
    <t>Blended avg</t>
  </si>
  <si>
    <t>Transactions Facilitated</t>
  </si>
  <si>
    <t>Via escrow/finance</t>
  </si>
  <si>
    <t>REVENUE ASSUMPTIONS</t>
  </si>
  <si>
    <t>Avg Dealer Subscription ($/mo)</t>
  </si>
  <si>
    <t>Blended tiers</t>
  </si>
  <si>
    <t>Featured Listing Fee (avg $)</t>
  </si>
  <si>
    <t>Featured Listings Sold/Yr</t>
  </si>
  <si>
    <t>Individual Listing Fee (avg $)</t>
  </si>
  <si>
    <t>Individual Listings Sold/Yr</t>
  </si>
  <si>
    <t>Transaction Commission Rate (capped 1% Y3+)</t>
  </si>
  <si>
    <t>Insurance Referral ($/policy)</t>
  </si>
  <si>
    <t>Insurance Policies Referred</t>
  </si>
  <si>
    <t>PPI Referral ($)</t>
  </si>
  <si>
    <t>PPI Referrals/Yr</t>
  </si>
  <si>
    <t>Legal Referral ($)</t>
  </si>
  <si>
    <t>Legal Referrals/Yr</t>
  </si>
  <si>
    <t>Data Analytics Subscribers</t>
  </si>
  <si>
    <t>Data Subscription ($/mo)</t>
  </si>
  <si>
    <t>MARKETING / ADVERTISING</t>
  </si>
  <si>
    <t>Brand Advertisers (monthly)</t>
  </si>
  <si>
    <t>OEMs, MROs, brokers</t>
  </si>
  <si>
    <t>Avg Ad Package ($/mo)</t>
  </si>
  <si>
    <t>Banner+newsletter+featured</t>
  </si>
  <si>
    <t>COST ASSUMPTIONS</t>
  </si>
  <si>
    <t>Headcount</t>
  </si>
  <si>
    <t>Avg Salary+Benefits ($/yr)</t>
  </si>
  <si>
    <t>Brazil-weighted</t>
  </si>
  <si>
    <t>Cloud Infra ($/mo)</t>
  </si>
  <si>
    <t>AWS/Vercel/CDN</t>
  </si>
  <si>
    <t>Marketing as % of Revenue</t>
  </si>
  <si>
    <t>Declining as organic grows</t>
  </si>
  <si>
    <t>Tax Rate</t>
  </si>
  <si>
    <t>Depreciation Rate (% PP&amp;E)</t>
  </si>
  <si>
    <t>Capex (USD)</t>
  </si>
  <si>
    <t>Tech+office</t>
  </si>
  <si>
    <t>Initial Equity Investment</t>
  </si>
  <si>
    <t>VALUATION</t>
  </si>
  <si>
    <t>Exit Multiple (x EBITDA)</t>
  </si>
  <si>
    <t>Discount Rate (WACC)</t>
  </si>
  <si>
    <t>AeroDesk — Revenue Build-Up (USD)</t>
  </si>
  <si>
    <t>1. DEALER SUBSCRIPTIONS</t>
  </si>
  <si>
    <t>Subscribers</t>
  </si>
  <si>
    <t>Avg Monthly Fee</t>
  </si>
  <si>
    <t>Dealer Subscription Revenue</t>
  </si>
  <si>
    <t>2. FEATURED LISTINGS</t>
  </si>
  <si>
    <t>Qty Sold</t>
  </si>
  <si>
    <t>Avg Fee</t>
  </si>
  <si>
    <t>Featured Listing Revenue</t>
  </si>
  <si>
    <t>3. INDIVIDUAL LISTINGS</t>
  </si>
  <si>
    <t>Individual Listing Revenue</t>
  </si>
  <si>
    <t>4. TRANSACTION COMMISSIONS (capped 1% Y3+)</t>
  </si>
  <si>
    <t>Transactions</t>
  </si>
  <si>
    <t>Avg Value</t>
  </si>
  <si>
    <t>Commission Rate</t>
  </si>
  <si>
    <t>Transaction Commission Revenue</t>
  </si>
  <si>
    <t>5. ANCILLARY SERVICES</t>
  </si>
  <si>
    <t>Insurance Referral Rev</t>
  </si>
  <si>
    <t>PPI Referral Rev</t>
  </si>
  <si>
    <t>Legal Referral Rev</t>
  </si>
  <si>
    <t>Total Ancillary Revenue</t>
  </si>
  <si>
    <t>6. DATA &amp; ANALYTICS</t>
  </si>
  <si>
    <t>Monthly Fee</t>
  </si>
  <si>
    <t>Data &amp; Analytics Revenue</t>
  </si>
  <si>
    <t>7. MARKETING / ADVERTISING REVENUE</t>
  </si>
  <si>
    <t>Brand Advertisers</t>
  </si>
  <si>
    <t>Avg Package ($/mo)</t>
  </si>
  <si>
    <t>Marketing / Ad Revenue</t>
  </si>
  <si>
    <t>TOTAL REVENUE</t>
  </si>
  <si>
    <t>Revenue Mix (%)</t>
  </si>
  <si>
    <t>Dealer Subs %</t>
  </si>
  <si>
    <t>Featured %</t>
  </si>
  <si>
    <t>Individual %</t>
  </si>
  <si>
    <t>Txn Commissions %</t>
  </si>
  <si>
    <t>Ancillary %</t>
  </si>
  <si>
    <t>Data %</t>
  </si>
  <si>
    <t>Marketing/Ads %</t>
  </si>
  <si>
    <t>AeroDesk — Income Statement (USD)</t>
  </si>
  <si>
    <t>REVENUE</t>
  </si>
  <si>
    <t>Total Revenue</t>
  </si>
  <si>
    <t>COGS</t>
  </si>
  <si>
    <t>Payment Processing (2.5% Rev)</t>
  </si>
  <si>
    <t>Cloud Infrastructure</t>
  </si>
  <si>
    <t>Data Licensing &amp; APIs</t>
  </si>
  <si>
    <t>Customer Support</t>
  </si>
  <si>
    <t>Total COGS</t>
  </si>
  <si>
    <t>Gross Profit</t>
  </si>
  <si>
    <t>Gross Margin %</t>
  </si>
  <si>
    <t>SG&amp;A</t>
  </si>
  <si>
    <t>Salaries &amp; Benefits</t>
  </si>
  <si>
    <t>Marketing &amp; Acquisition</t>
  </si>
  <si>
    <t>Office &amp; Co-working</t>
  </si>
  <si>
    <t>Professional Services</t>
  </si>
  <si>
    <t>Software &amp; Tools</t>
  </si>
  <si>
    <t>Travel &amp; Events</t>
  </si>
  <si>
    <t>D&amp;O Insurance</t>
  </si>
  <si>
    <t>Total SG&amp;A</t>
  </si>
  <si>
    <t>EBITDA</t>
  </si>
  <si>
    <t>EBITDA Margin %</t>
  </si>
  <si>
    <t>D&amp;A</t>
  </si>
  <si>
    <t>EBIT</t>
  </si>
  <si>
    <t>Interest</t>
  </si>
  <si>
    <t>EBT</t>
  </si>
  <si>
    <t>Taxes</t>
  </si>
  <si>
    <t>NET INCOME</t>
  </si>
  <si>
    <t>Net Margin %</t>
  </si>
  <si>
    <t>AeroDesk — Balance Sheet (USD)</t>
  </si>
  <si>
    <t>ASSETS</t>
  </si>
  <si>
    <t>Cash</t>
  </si>
  <si>
    <t>Accounts Receivable</t>
  </si>
  <si>
    <t>Prepaid Expenses</t>
  </si>
  <si>
    <t>Current Assets</t>
  </si>
  <si>
    <t>PP&amp;E (Net)</t>
  </si>
  <si>
    <t>TOTAL ASSETS</t>
  </si>
  <si>
    <t>LIABILITIES</t>
  </si>
  <si>
    <t>Accounts Payable</t>
  </si>
  <si>
    <t>Deferred Revenue</t>
  </si>
  <si>
    <t>Accrued Expenses</t>
  </si>
  <si>
    <t>Total Liabilities</t>
  </si>
  <si>
    <t>EQUITY</t>
  </si>
  <si>
    <t>Paid-in Capital</t>
  </si>
  <si>
    <t>Retained Earnings</t>
  </si>
  <si>
    <t>Total Equity</t>
  </si>
  <si>
    <t>TOTAL L+E</t>
  </si>
  <si>
    <t>Balance Check</t>
  </si>
  <si>
    <t>AeroDesk — Cash Flow Statement (USD)</t>
  </si>
  <si>
    <t>OPERATING</t>
  </si>
  <si>
    <t>Net Income</t>
  </si>
  <si>
    <t>(+) D&amp;A</t>
  </si>
  <si>
    <t>WC Changes</t>
  </si>
  <si>
    <t>Cash from Operations</t>
  </si>
  <si>
    <t>INVESTING</t>
  </si>
  <si>
    <t>Capex</t>
  </si>
  <si>
    <t>Cash from Investing</t>
  </si>
  <si>
    <t>FINANCING</t>
  </si>
  <si>
    <t>Equity Investment</t>
  </si>
  <si>
    <t>Cash from Financing</t>
  </si>
  <si>
    <t>NET CHANGE IN CASH</t>
  </si>
  <si>
    <t>Beginning Cash</t>
  </si>
  <si>
    <t>Ending Cash</t>
  </si>
  <si>
    <t>AeroDesk — IRR &amp; Return Analysis</t>
  </si>
  <si>
    <t>FREE CASH FLOW</t>
  </si>
  <si>
    <t>Cash from Ops</t>
  </si>
  <si>
    <t>FCFE</t>
  </si>
  <si>
    <t>INVESTOR RETURNS</t>
  </si>
  <si>
    <t>Investment (outflow)</t>
  </si>
  <si>
    <t>Terminal Value (linked exit multiple)</t>
  </si>
  <si>
    <t>Total CF to Investor</t>
  </si>
  <si>
    <t>IRR</t>
  </si>
  <si>
    <t>Exit Multiple (linked)</t>
  </si>
  <si>
    <t>MOIC</t>
  </si>
  <si>
    <t>MARKET SHARE</t>
  </si>
  <si>
    <t>Online TAM (USD M)</t>
  </si>
  <si>
    <t>AeroDesk Rev (USD M)</t>
  </si>
  <si>
    <t>Market Share</t>
  </si>
  <si>
    <t>Controller.com Est Rev (USD M)</t>
  </si>
  <si>
    <t>AeroDesk % of Controller</t>
  </si>
  <si>
    <t>AeroDesk — Sensitivity Analysis</t>
  </si>
  <si>
    <t>MOIC SENSITIVITY</t>
  </si>
  <si>
    <t>Exit Mult / Rev Mult</t>
  </si>
  <si>
    <t>Rev Multiplier on Base</t>
  </si>
  <si>
    <t>6x</t>
  </si>
  <si>
    <t>8x</t>
  </si>
  <si>
    <t>10x</t>
  </si>
  <si>
    <t>12x</t>
  </si>
  <si>
    <t>15x</t>
  </si>
  <si>
    <t>Y5 SUB REVENUE ($)</t>
  </si>
  <si>
    <t>Dealers ↓ / Avg Fee →</t>
  </si>
  <si>
    <t>$250/mo</t>
  </si>
  <si>
    <t>$300/mo</t>
  </si>
  <si>
    <t>$340/mo</t>
  </si>
  <si>
    <t>$400/mo</t>
  </si>
  <si>
    <t>$450/mo</t>
  </si>
  <si>
    <t>600 dealers</t>
  </si>
  <si>
    <t>800 dealers</t>
  </si>
  <si>
    <t>1000 dealers</t>
  </si>
  <si>
    <t>1200 dealers</t>
  </si>
  <si>
    <t>1500 dealers</t>
  </si>
  <si>
    <t>Y5 EBITDA MARGIN</t>
  </si>
  <si>
    <t>Gross Margin ↓ / SGA% →</t>
  </si>
  <si>
    <t>70% GM</t>
  </si>
  <si>
    <t>75% GM</t>
  </si>
  <si>
    <t>80% GM</t>
  </si>
  <si>
    <t>85% GM</t>
  </si>
  <si>
    <t>90% GM</t>
  </si>
  <si>
    <t>AeroDesk — Visual Dashboard</t>
  </si>
  <si>
    <t>Year</t>
  </si>
  <si>
    <t>Y0</t>
  </si>
  <si>
    <t>Y1</t>
  </si>
  <si>
    <t>Y2</t>
  </si>
  <si>
    <t>Y3</t>
  </si>
  <si>
    <t>Y4</t>
  </si>
  <si>
    <t>Y5</t>
  </si>
  <si>
    <t>Revenue</t>
  </si>
  <si>
    <t>Cash Balance</t>
  </si>
  <si>
    <t>Revenue by Stream (Y5)</t>
  </si>
  <si>
    <t>Dealer Subs</t>
  </si>
  <si>
    <t>Featured</t>
  </si>
  <si>
    <t>Individual</t>
  </si>
  <si>
    <t>Txn Comm</t>
  </si>
  <si>
    <t>Ancillary</t>
  </si>
  <si>
    <t>Data</t>
  </si>
  <si>
    <t>Mkt/Ads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</si>
</sst>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\$#,##0;&quot;($&quot;#,##0\);\-"/>
    <numFmt numFmtId="166" formatCode="0.0\x"/>
    <numFmt numFmtId="167" formatCode="0.000%"/>
    <numFmt numFmtId="168" formatCode="0.0"/>
  </numFmts>
  <fonts count="11" x14ac:knownFonts="1">
    <font>
      <sz val="11"/>
      <color theme="1"/>
      <name val="Calibri"/>
      <family val="2"/>
      <charset val="1"/>
    </font>
    <font>
      <b/>
      <sz val="14"/>
      <color rgb="FF1B2A4A"/>
      <name val="Arial"/>
      <family val="2"/>
    </font>
    <font>
      <b/>
      <sz val="10"/>
      <color rgb="FFFFFFFF"/>
      <name val="Arial"/>
      <family val="2"/>
    </font>
    <font>
      <b/>
      <sz val="11"/>
      <color rgb="FF1B2A4A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10"/>
      <color rgb="FF000000"/>
      <name val="Arial"/>
      <family val="2"/>
    </font>
    <font>
      <b/>
      <sz val="10"/>
      <color rgb="FF0000FF"/>
      <name val="Arial"/>
      <family val="2"/>
    </font>
    <font>
      <sz val="10"/>
      <color rgb="FF008000"/>
      <name val="Arial"/>
      <family val="2"/>
    </font>
    <font>
      <b/>
      <sz val="10"/>
      <color rgb="FF008000"/>
      <name val="Arial"/>
      <family val="2"/>
    </font>
    <font>
      <sz val="10"/>
      <color rgb="FFCC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EBF0F7"/>
        <bgColor rgb="FFF9F9F9"/>
      </patternFill>
    </fill>
    <fill>
      <patternFill patternType="solid">
        <fgColor rgb="FFFFFF00"/>
        <bgColor rgb="FFFFFF00"/>
      </patternFill>
    </fill>
    <fill>
      <patternFill patternType="solid">
        <fgColor rgb="FFD5E8F0"/>
        <bgColor rgb="FFEBF0F7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double">
        <color rgb="FF1B2A4A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0" fillId="3" borderId="1" xfId="0" applyFill="1" applyBorder="1"/>
    <xf numFmtId="0" fontId="4" fillId="0" borderId="1" xfId="0" applyFont="1" applyBorder="1"/>
    <xf numFmtId="0" fontId="0" fillId="0" borderId="1" xfId="0" applyBorder="1"/>
    <xf numFmtId="4" fontId="5" fillId="0" borderId="1" xfId="0" applyNumberFormat="1" applyFont="1" applyBorder="1"/>
    <xf numFmtId="4" fontId="4" fillId="0" borderId="1" xfId="0" applyNumberFormat="1" applyFont="1" applyBorder="1"/>
    <xf numFmtId="0" fontId="4" fillId="0" borderId="0" xfId="0" applyFont="1"/>
    <xf numFmtId="164" fontId="5" fillId="4" borderId="0" xfId="0" applyNumberFormat="1" applyFont="1" applyFill="1"/>
    <xf numFmtId="3" fontId="5" fillId="0" borderId="1" xfId="0" applyNumberFormat="1" applyFont="1" applyBorder="1"/>
    <xf numFmtId="3" fontId="4" fillId="0" borderId="1" xfId="0" applyNumberFormat="1" applyFont="1" applyBorder="1"/>
    <xf numFmtId="165" fontId="5" fillId="0" borderId="1" xfId="0" applyNumberFormat="1" applyFont="1" applyBorder="1"/>
    <xf numFmtId="0" fontId="4" fillId="4" borderId="0" xfId="0" applyFont="1" applyFill="1"/>
    <xf numFmtId="164" fontId="5" fillId="0" borderId="0" xfId="0" applyNumberFormat="1" applyFont="1"/>
    <xf numFmtId="164" fontId="5" fillId="0" borderId="1" xfId="0" applyNumberFormat="1" applyFont="1" applyBorder="1"/>
    <xf numFmtId="0" fontId="6" fillId="0" borderId="0" xfId="0" applyFont="1"/>
    <xf numFmtId="165" fontId="7" fillId="4" borderId="0" xfId="0" applyNumberFormat="1" applyFont="1" applyFill="1"/>
    <xf numFmtId="166" fontId="7" fillId="4" borderId="0" xfId="0" applyNumberFormat="1" applyFont="1" applyFill="1"/>
    <xf numFmtId="0" fontId="8" fillId="0" borderId="0" xfId="0" applyFont="1"/>
    <xf numFmtId="3" fontId="8" fillId="0" borderId="1" xfId="0" applyNumberFormat="1" applyFont="1" applyBorder="1"/>
    <xf numFmtId="165" fontId="8" fillId="0" borderId="1" xfId="0" applyNumberFormat="1" applyFont="1" applyBorder="1"/>
    <xf numFmtId="0" fontId="6" fillId="5" borderId="1" xfId="0" applyFont="1" applyFill="1" applyBorder="1"/>
    <xf numFmtId="165" fontId="6" fillId="5" borderId="1" xfId="0" applyNumberFormat="1" applyFont="1" applyFill="1" applyBorder="1"/>
    <xf numFmtId="164" fontId="8" fillId="0" borderId="1" xfId="0" applyNumberFormat="1" applyFont="1" applyBorder="1"/>
    <xf numFmtId="165" fontId="0" fillId="0" borderId="1" xfId="0" applyNumberFormat="1" applyBorder="1"/>
    <xf numFmtId="0" fontId="3" fillId="5" borderId="2" xfId="0" applyFont="1" applyFill="1" applyBorder="1"/>
    <xf numFmtId="0" fontId="6" fillId="5" borderId="2" xfId="0" applyFont="1" applyFill="1" applyBorder="1"/>
    <xf numFmtId="165" fontId="3" fillId="5" borderId="2" xfId="0" applyNumberFormat="1" applyFont="1" applyFill="1" applyBorder="1"/>
    <xf numFmtId="0" fontId="3" fillId="0" borderId="0" xfId="0" applyFont="1"/>
    <xf numFmtId="164" fontId="0" fillId="0" borderId="1" xfId="0" applyNumberFormat="1" applyBorder="1"/>
    <xf numFmtId="0" fontId="9" fillId="5" borderId="1" xfId="0" applyFont="1" applyFill="1" applyBorder="1"/>
    <xf numFmtId="165" fontId="9" fillId="5" borderId="1" xfId="0" applyNumberFormat="1" applyFont="1" applyFill="1" applyBorder="1"/>
    <xf numFmtId="165" fontId="6" fillId="0" borderId="1" xfId="0" applyNumberFormat="1" applyFont="1" applyBorder="1"/>
    <xf numFmtId="0" fontId="3" fillId="5" borderId="1" xfId="0" applyFont="1" applyFill="1" applyBorder="1"/>
    <xf numFmtId="165" fontId="3" fillId="5" borderId="1" xfId="0" applyNumberFormat="1" applyFont="1" applyFill="1" applyBorder="1"/>
    <xf numFmtId="0" fontId="10" fillId="0" borderId="0" xfId="0" applyFont="1"/>
    <xf numFmtId="165" fontId="10" fillId="0" borderId="1" xfId="0" applyNumberFormat="1" applyFont="1" applyBorder="1"/>
    <xf numFmtId="165" fontId="6" fillId="5" borderId="2" xfId="0" applyNumberFormat="1" applyFont="1" applyFill="1" applyBorder="1"/>
    <xf numFmtId="164" fontId="1" fillId="4" borderId="0" xfId="0" applyNumberFormat="1" applyFont="1" applyFill="1"/>
    <xf numFmtId="166" fontId="8" fillId="0" borderId="0" xfId="0" applyNumberFormat="1" applyFont="1"/>
    <xf numFmtId="166" fontId="0" fillId="0" borderId="0" xfId="0" applyNumberFormat="1"/>
    <xf numFmtId="2" fontId="0" fillId="0" borderId="1" xfId="0" applyNumberFormat="1" applyBorder="1"/>
    <xf numFmtId="167" fontId="6" fillId="4" borderId="1" xfId="0" applyNumberFormat="1" applyFont="1" applyFill="1" applyBorder="1"/>
    <xf numFmtId="168" fontId="5" fillId="0" borderId="1" xfId="0" applyNumberFormat="1" applyFont="1" applyBorder="1"/>
    <xf numFmtId="9" fontId="2" fillId="2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/>
    <xf numFmtId="166" fontId="0" fillId="0" borderId="1" xfId="0" applyNumberFormat="1" applyBorder="1"/>
    <xf numFmtId="166" fontId="0" fillId="4" borderId="1" xfId="0" applyNumberFormat="1" applyFill="1" applyBorder="1"/>
    <xf numFmtId="165" fontId="0" fillId="4" borderId="1" xfId="0" applyNumberFormat="1" applyFill="1" applyBorder="1"/>
    <xf numFmtId="164" fontId="2" fillId="2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5" fontId="8" fillId="0" borderId="0" xfId="0" applyNumberFormat="1" applyFont="1"/>
    <xf numFmtId="164" fontId="0" fillId="0" borderId="0" xfId="0" applyNumberFormat="1"/>
    <xf numFmtId="0" fontId="4" fillId="0" borderId="0" xfId="0" applyFont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3B82F6"/>
      <rgbColor rgb="FFCCCCCC"/>
      <rgbColor rgb="FF878787"/>
      <rgbColor rgb="FF93A9CE"/>
      <rgbColor rgb="FFAB4744"/>
      <rgbColor rgb="FFF9F9F9"/>
      <rgbColor rgb="FFD5E8F0"/>
      <rgbColor rgb="FF660066"/>
      <rgbColor rgb="FFDC853E"/>
      <rgbColor rgb="FF2E75B6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0F7"/>
      <rgbColor rgb="FFCCFFCC"/>
      <rgbColor rgb="FFFFFF99"/>
      <rgbColor rgb="FF60A5FA"/>
      <rgbColor rgb="FFFF99CC"/>
      <rgbColor rgb="FFCC99FF"/>
      <rgbColor rgb="FFFFCC99"/>
      <rgbColor rgb="FF2563EB"/>
      <rgbColor rgb="FF22C55E"/>
      <rgbColor rgb="FF99CC00"/>
      <rgbColor rgb="FFFFCC00"/>
      <rgbColor rgb="FFFF8C00"/>
      <rgbColor rgb="FFFF6600"/>
      <rgbColor rgb="FF725990"/>
      <rgbColor rgb="FF8AA64F"/>
      <rgbColor rgb="FF003366"/>
      <rgbColor rgb="FF4299B0"/>
      <rgbColor rgb="FF0F172A"/>
      <rgbColor rgb="FF006400"/>
      <rgbColor rgb="FF993300"/>
      <rgbColor rgb="FF993366"/>
      <rgbColor rgb="FF333399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Revenue / EBITDA / Net Income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Dashboard!$A$4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3B82F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Dashboard!$B$3:$G$3</c:f>
              <c:strCache>
                <c:ptCount val="6"/>
                <c:pt idx="0">
                  <c:v>Y0</c:v>
                </c:pt>
                <c:pt idx="1">
                  <c:v>Y1</c:v>
                </c:pt>
                <c:pt idx="2">
                  <c:v>Y2</c:v>
                </c:pt>
                <c:pt idx="3">
                  <c:v>Y3</c:v>
                </c:pt>
                <c:pt idx="4">
                  <c:v>Y4</c:v>
                </c:pt>
                <c:pt idx="5">
                  <c:v>Y5</c:v>
                </c:pt>
              </c:strCache>
            </c:strRef>
          </c:cat>
          <c:val>
            <c:numRef>
              <c:f>Dashboard!$B$4:$G$4</c:f>
              <c:numCache>
                <c:formatCode>\$#,##0;"($"#,##0\);\-</c:formatCode>
                <c:ptCount val="6"/>
                <c:pt idx="0">
                  <c:v>0</c:v>
                </c:pt>
                <c:pt idx="1">
                  <c:v>308350</c:v>
                </c:pt>
                <c:pt idx="2">
                  <c:v>1762500</c:v>
                </c:pt>
                <c:pt idx="3">
                  <c:v>5991600</c:v>
                </c:pt>
                <c:pt idx="4">
                  <c:v>13197500</c:v>
                </c:pt>
                <c:pt idx="5">
                  <c:v>26095000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6D-470D-994A-B471A1C7F26B}"/>
            </c:ext>
          </c:extLst>
        </c:ser>
        <c:ser>
          <c:idx val="1"/>
          <c:order val="1"/>
          <c:tx>
            <c:strRef>
              <c:f>Dashboard!$A$8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1B2A4A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Dashboard!$B$3:$G$3</c:f>
              <c:strCache>
                <c:ptCount val="6"/>
                <c:pt idx="0">
                  <c:v>Y0</c:v>
                </c:pt>
                <c:pt idx="1">
                  <c:v>Y1</c:v>
                </c:pt>
                <c:pt idx="2">
                  <c:v>Y2</c:v>
                </c:pt>
                <c:pt idx="3">
                  <c:v>Y3</c:v>
                </c:pt>
                <c:pt idx="4">
                  <c:v>Y4</c:v>
                </c:pt>
                <c:pt idx="5">
                  <c:v>Y5</c:v>
                </c:pt>
              </c:strCache>
            </c:strRef>
          </c:cat>
          <c:val>
            <c:numRef>
              <c:f>Dashboard!$B$8:$G$8</c:f>
              <c:numCache>
                <c:formatCode>\$#,##0;"($"#,##0\);\-</c:formatCode>
                <c:ptCount val="6"/>
                <c:pt idx="0">
                  <c:v>-65000</c:v>
                </c:pt>
                <c:pt idx="1">
                  <c:v>-522951.25</c:v>
                </c:pt>
                <c:pt idx="2">
                  <c:v>-202562.5</c:v>
                </c:pt>
                <c:pt idx="3">
                  <c:v>2012330</c:v>
                </c:pt>
                <c:pt idx="4">
                  <c:v>6808112.5</c:v>
                </c:pt>
                <c:pt idx="5">
                  <c:v>16053525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6D-470D-994A-B471A1C7F26B}"/>
            </c:ext>
          </c:extLst>
        </c:ser>
        <c:ser>
          <c:idx val="2"/>
          <c:order val="2"/>
          <c:tx>
            <c:strRef>
              <c:f>Dashboard!$A$9</c:f>
              <c:strCache>
                <c:ptCount val="1"/>
                <c:pt idx="0">
                  <c:v>Net Income</c:v>
                </c:pt>
              </c:strCache>
            </c:strRef>
          </c:tx>
          <c:spPr>
            <a:solidFill>
              <a:srgbClr val="22C55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Dashboard!$B$3:$G$3</c:f>
              <c:strCache>
                <c:ptCount val="6"/>
                <c:pt idx="0">
                  <c:v>Y0</c:v>
                </c:pt>
                <c:pt idx="1">
                  <c:v>Y1</c:v>
                </c:pt>
                <c:pt idx="2">
                  <c:v>Y2</c:v>
                </c:pt>
                <c:pt idx="3">
                  <c:v>Y3</c:v>
                </c:pt>
                <c:pt idx="4">
                  <c:v>Y4</c:v>
                </c:pt>
                <c:pt idx="5">
                  <c:v>Y5</c:v>
                </c:pt>
              </c:strCache>
            </c:strRef>
          </c:cat>
          <c:val>
            <c:numRef>
              <c:f>Dashboard!$B$9:$G$9</c:f>
              <c:numCache>
                <c:formatCode>\$#,##0;"($"#,##0\);\-</c:formatCode>
                <c:ptCount val="6"/>
                <c:pt idx="0">
                  <c:v>-65000</c:v>
                </c:pt>
                <c:pt idx="1">
                  <c:v>-558951.25</c:v>
                </c:pt>
                <c:pt idx="2">
                  <c:v>-252562.5</c:v>
                </c:pt>
                <c:pt idx="3">
                  <c:v>1676480.5</c:v>
                </c:pt>
                <c:pt idx="4">
                  <c:v>5735895.625</c:v>
                </c:pt>
                <c:pt idx="5">
                  <c:v>13577496.25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6D-470D-994A-B471A1C7F2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5207588"/>
        <c:axId val="83976457"/>
      </c:barChart>
      <c:catAx>
        <c:axId val="752075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83976457"/>
        <c:crosses val="autoZero"/>
        <c:auto val="1"/>
        <c:lblAlgn val="ctr"/>
        <c:lblOffset val="100"/>
        <c:noMultiLvlLbl val="0"/>
      </c:catAx>
      <c:valAx>
        <c:axId val="839764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7520758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Margin Evolution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Dashboard!$A$14</c:f>
              <c:strCache>
                <c:ptCount val="1"/>
                <c:pt idx="0">
                  <c:v>Gross Margin %</c:v>
                </c:pt>
              </c:strCache>
            </c:strRef>
          </c:tx>
          <c:spPr>
            <a:ln w="47520">
              <a:solidFill>
                <a:srgbClr val="60A5FA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Dashboard!$C$3:$G$3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Dashboard!$B$14:$G$14</c:f>
              <c:numCache>
                <c:formatCode>0.0%</c:formatCode>
                <c:ptCount val="6"/>
                <c:pt idx="1">
                  <c:v>0.78041592346359656</c:v>
                </c:pt>
                <c:pt idx="2">
                  <c:v>0.90351063829787237</c:v>
                </c:pt>
                <c:pt idx="3">
                  <c:v>0.93894952934107756</c:v>
                </c:pt>
                <c:pt idx="4">
                  <c:v>0.94772210645955668</c:v>
                </c:pt>
                <c:pt idx="5">
                  <c:v>0.95338666411189887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815-49F3-A82A-B6938B42B780}"/>
            </c:ext>
          </c:extLst>
        </c:ser>
        <c:ser>
          <c:idx val="1"/>
          <c:order val="1"/>
          <c:tx>
            <c:strRef>
              <c:f>Dashboard!$A$15</c:f>
              <c:strCache>
                <c:ptCount val="1"/>
                <c:pt idx="0">
                  <c:v>EBITDA Margin %</c:v>
                </c:pt>
              </c:strCache>
            </c:strRef>
          </c:tx>
          <c:spPr>
            <a:ln w="47520">
              <a:solidFill>
                <a:srgbClr val="2563E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Dashboard!$C$3:$G$3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Dashboard!$B$15:$G$15</c:f>
              <c:numCache>
                <c:formatCode>0.0%</c:formatCode>
                <c:ptCount val="6"/>
                <c:pt idx="1">
                  <c:v>-1.6959664342467975</c:v>
                </c:pt>
                <c:pt idx="2">
                  <c:v>-0.11492907801418439</c:v>
                </c:pt>
                <c:pt idx="3">
                  <c:v>0.33585853528272913</c:v>
                </c:pt>
                <c:pt idx="4">
                  <c:v>0.51586379996211407</c:v>
                </c:pt>
                <c:pt idx="5">
                  <c:v>0.61519543973941371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815-49F3-A82A-B6938B42B780}"/>
            </c:ext>
          </c:extLst>
        </c:ser>
        <c:ser>
          <c:idx val="2"/>
          <c:order val="2"/>
          <c:tx>
            <c:strRef>
              <c:f>Dashboard!$A$16</c:f>
              <c:strCache>
                <c:ptCount val="1"/>
                <c:pt idx="0">
                  <c:v>Net Margin %</c:v>
                </c:pt>
              </c:strCache>
            </c:strRef>
          </c:tx>
          <c:spPr>
            <a:ln w="47520">
              <a:solidFill>
                <a:srgbClr val="0F172A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Dashboard!$C$3:$G$3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Dashboard!$B$16:$G$16</c:f>
              <c:numCache>
                <c:formatCode>0.0%</c:formatCode>
                <c:ptCount val="6"/>
                <c:pt idx="1">
                  <c:v>-1.8127168801686395</c:v>
                </c:pt>
                <c:pt idx="2">
                  <c:v>-0.14329787234042554</c:v>
                </c:pt>
                <c:pt idx="3">
                  <c:v>0.27980514386808197</c:v>
                </c:pt>
                <c:pt idx="4">
                  <c:v>0.43461986171623412</c:v>
                </c:pt>
                <c:pt idx="5">
                  <c:v>0.52031026058631924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815-49F3-A82A-B6938B42B7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792974"/>
        <c:axId val="36285091"/>
      </c:lineChart>
      <c:catAx>
        <c:axId val="179297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36285091"/>
        <c:crosses val="autoZero"/>
        <c:auto val="1"/>
        <c:lblAlgn val="ctr"/>
        <c:lblOffset val="100"/>
        <c:noMultiLvlLbl val="0"/>
      </c:catAx>
      <c:valAx>
        <c:axId val="362850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Margin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179297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Cash Balance / Capex / FCFE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Dashboard!$A$12</c:f>
              <c:strCache>
                <c:ptCount val="1"/>
                <c:pt idx="0">
                  <c:v>Cash Balance</c:v>
                </c:pt>
              </c:strCache>
            </c:strRef>
          </c:tx>
          <c:spPr>
            <a:solidFill>
              <a:srgbClr val="3B82F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Dashboard!$B$3:$G$3</c:f>
              <c:strCache>
                <c:ptCount val="6"/>
                <c:pt idx="0">
                  <c:v>Y0</c:v>
                </c:pt>
                <c:pt idx="1">
                  <c:v>Y1</c:v>
                </c:pt>
                <c:pt idx="2">
                  <c:v>Y2</c:v>
                </c:pt>
                <c:pt idx="3">
                  <c:v>Y3</c:v>
                </c:pt>
                <c:pt idx="4">
                  <c:v>Y4</c:v>
                </c:pt>
                <c:pt idx="5">
                  <c:v>Y5</c:v>
                </c:pt>
              </c:strCache>
            </c:strRef>
          </c:cat>
          <c:val>
            <c:numRef>
              <c:f>Dashboard!$B$12:$G$12</c:f>
              <c:numCache>
                <c:formatCode>\$#,##0;"($"#,##0\);\-</c:formatCode>
                <c:ptCount val="6"/>
                <c:pt idx="0">
                  <c:v>475000</c:v>
                </c:pt>
                <c:pt idx="1">
                  <c:v>-265879.32291666663</c:v>
                </c:pt>
                <c:pt idx="2">
                  <c:v>-918005.9375</c:v>
                </c:pt>
                <c:pt idx="3">
                  <c:v>-31909.5</c:v>
                </c:pt>
                <c:pt idx="4">
                  <c:v>4368521.229166666</c:v>
                </c:pt>
                <c:pt idx="5">
                  <c:v>15632238.833333332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D4-444F-BB9C-AEF3B9BA3159}"/>
            </c:ext>
          </c:extLst>
        </c:ser>
        <c:ser>
          <c:idx val="1"/>
          <c:order val="1"/>
          <c:tx>
            <c:strRef>
              <c:f>Dashboard!$A$10</c:f>
              <c:strCache>
                <c:ptCount val="1"/>
                <c:pt idx="0">
                  <c:v>Capex</c:v>
                </c:pt>
              </c:strCache>
            </c:strRef>
          </c:tx>
          <c:spPr>
            <a:solidFill>
              <a:srgbClr val="CC000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Dashboard!$B$3:$G$3</c:f>
              <c:strCache>
                <c:ptCount val="6"/>
                <c:pt idx="0">
                  <c:v>Y0</c:v>
                </c:pt>
                <c:pt idx="1">
                  <c:v>Y1</c:v>
                </c:pt>
                <c:pt idx="2">
                  <c:v>Y2</c:v>
                </c:pt>
                <c:pt idx="3">
                  <c:v>Y3</c:v>
                </c:pt>
                <c:pt idx="4">
                  <c:v>Y4</c:v>
                </c:pt>
                <c:pt idx="5">
                  <c:v>Y5</c:v>
                </c:pt>
              </c:strCache>
            </c:strRef>
          </c:cat>
          <c:val>
            <c:numRef>
              <c:f>Dashboard!$B$10:$G$10</c:f>
              <c:numCache>
                <c:formatCode>\$#,##0;"($"#,##0\);\-</c:formatCode>
                <c:ptCount val="6"/>
                <c:pt idx="0">
                  <c:v>350000</c:v>
                </c:pt>
                <c:pt idx="1">
                  <c:v>180000</c:v>
                </c:pt>
                <c:pt idx="2">
                  <c:v>250000</c:v>
                </c:pt>
                <c:pt idx="3">
                  <c:v>200000</c:v>
                </c:pt>
                <c:pt idx="4">
                  <c:v>300000</c:v>
                </c:pt>
                <c:pt idx="5">
                  <c:v>400000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D4-444F-BB9C-AEF3B9BA3159}"/>
            </c:ext>
          </c:extLst>
        </c:ser>
        <c:ser>
          <c:idx val="2"/>
          <c:order val="2"/>
          <c:tx>
            <c:strRef>
              <c:f>Dashboard!$A$11</c:f>
              <c:strCache>
                <c:ptCount val="1"/>
                <c:pt idx="0">
                  <c:v>FCFE</c:v>
                </c:pt>
              </c:strCache>
            </c:strRef>
          </c:tx>
          <c:spPr>
            <a:solidFill>
              <a:srgbClr val="22C55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Dashboard!$B$3:$G$3</c:f>
              <c:strCache>
                <c:ptCount val="6"/>
                <c:pt idx="0">
                  <c:v>Y0</c:v>
                </c:pt>
                <c:pt idx="1">
                  <c:v>Y1</c:v>
                </c:pt>
                <c:pt idx="2">
                  <c:v>Y2</c:v>
                </c:pt>
                <c:pt idx="3">
                  <c:v>Y3</c:v>
                </c:pt>
                <c:pt idx="4">
                  <c:v>Y4</c:v>
                </c:pt>
                <c:pt idx="5">
                  <c:v>Y5</c:v>
                </c:pt>
              </c:strCache>
            </c:strRef>
          </c:cat>
          <c:val>
            <c:numRef>
              <c:f>Dashboard!$B$11:$G$11</c:f>
              <c:numCache>
                <c:formatCode>\$#,##0;"($"#,##0\);\-</c:formatCode>
                <c:ptCount val="6"/>
                <c:pt idx="0">
                  <c:v>-445000</c:v>
                </c:pt>
                <c:pt idx="1">
                  <c:v>-740879.32291666663</c:v>
                </c:pt>
                <c:pt idx="2">
                  <c:v>-652126.61458333337</c:v>
                </c:pt>
                <c:pt idx="3">
                  <c:v>886096.4375</c:v>
                </c:pt>
                <c:pt idx="4">
                  <c:v>4400430.729166666</c:v>
                </c:pt>
                <c:pt idx="5">
                  <c:v>11263717.604166666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D4-444F-BB9C-AEF3B9BA31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917071"/>
        <c:axId val="29552206"/>
      </c:barChart>
      <c:catAx>
        <c:axId val="1991707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29552206"/>
        <c:crosses val="autoZero"/>
        <c:auto val="1"/>
        <c:lblAlgn val="ctr"/>
        <c:lblOffset val="100"/>
        <c:noMultiLvlLbl val="0"/>
      </c:catAx>
      <c:valAx>
        <c:axId val="295522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1991707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Year 5 Revenue by Stream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563E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Dashboard!$B$68:$H$68</c:f>
              <c:strCache>
                <c:ptCount val="7"/>
                <c:pt idx="0">
                  <c:v>Dealer Subs</c:v>
                </c:pt>
                <c:pt idx="1">
                  <c:v>Featured</c:v>
                </c:pt>
                <c:pt idx="2">
                  <c:v>Individual</c:v>
                </c:pt>
                <c:pt idx="3">
                  <c:v>Txn Comm</c:v>
                </c:pt>
                <c:pt idx="4">
                  <c:v>Ancillary</c:v>
                </c:pt>
                <c:pt idx="5">
                  <c:v>Data</c:v>
                </c:pt>
                <c:pt idx="6">
                  <c:v>Mkt/Ads</c:v>
                </c:pt>
              </c:strCache>
            </c:strRef>
          </c:cat>
          <c:val>
            <c:numRef>
              <c:f>Dashboard!$B$69</c:f>
              <c:numCache>
                <c:formatCode>\$#,##0;"($"#,##0\);\-</c:formatCode>
                <c:ptCount val="1"/>
                <c:pt idx="0">
                  <c:v>4080000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99-4223-9014-C8C78B274A21}"/>
            </c:ext>
          </c:extLst>
        </c:ser>
        <c:ser>
          <c:idx val="1"/>
          <c:order val="1"/>
          <c:spPr>
            <a:solidFill>
              <a:srgbClr val="AB474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Dashboard!$B$68:$H$68</c:f>
              <c:strCache>
                <c:ptCount val="7"/>
                <c:pt idx="0">
                  <c:v>Dealer Subs</c:v>
                </c:pt>
                <c:pt idx="1">
                  <c:v>Featured</c:v>
                </c:pt>
                <c:pt idx="2">
                  <c:v>Individual</c:v>
                </c:pt>
                <c:pt idx="3">
                  <c:v>Txn Comm</c:v>
                </c:pt>
                <c:pt idx="4">
                  <c:v>Ancillary</c:v>
                </c:pt>
                <c:pt idx="5">
                  <c:v>Data</c:v>
                </c:pt>
                <c:pt idx="6">
                  <c:v>Mkt/Ads</c:v>
                </c:pt>
              </c:strCache>
            </c:strRef>
          </c:cat>
          <c:val>
            <c:numRef>
              <c:f>Dashboard!$C$69</c:f>
              <c:numCache>
                <c:formatCode>\$#,##0;"($"#,##0\);\-</c:formatCode>
                <c:ptCount val="1"/>
                <c:pt idx="0">
                  <c:v>1925000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99-4223-9014-C8C78B274A21}"/>
            </c:ext>
          </c:extLst>
        </c:ser>
        <c:ser>
          <c:idx val="2"/>
          <c:order val="2"/>
          <c:spPr>
            <a:solidFill>
              <a:srgbClr val="8AA64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Dashboard!$B$68:$H$68</c:f>
              <c:strCache>
                <c:ptCount val="7"/>
                <c:pt idx="0">
                  <c:v>Dealer Subs</c:v>
                </c:pt>
                <c:pt idx="1">
                  <c:v>Featured</c:v>
                </c:pt>
                <c:pt idx="2">
                  <c:v>Individual</c:v>
                </c:pt>
                <c:pt idx="3">
                  <c:v>Txn Comm</c:v>
                </c:pt>
                <c:pt idx="4">
                  <c:v>Ancillary</c:v>
                </c:pt>
                <c:pt idx="5">
                  <c:v>Data</c:v>
                </c:pt>
                <c:pt idx="6">
                  <c:v>Mkt/Ads</c:v>
                </c:pt>
              </c:strCache>
            </c:strRef>
          </c:cat>
          <c:val>
            <c:numRef>
              <c:f>Dashboard!$D$69</c:f>
              <c:numCache>
                <c:formatCode>\$#,##0;"($"#,##0\);\-</c:formatCode>
                <c:ptCount val="1"/>
                <c:pt idx="0">
                  <c:v>840000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99-4223-9014-C8C78B274A21}"/>
            </c:ext>
          </c:extLst>
        </c:ser>
        <c:ser>
          <c:idx val="3"/>
          <c:order val="3"/>
          <c:spPr>
            <a:solidFill>
              <a:srgbClr val="72599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Dashboard!$B$68:$H$68</c:f>
              <c:strCache>
                <c:ptCount val="7"/>
                <c:pt idx="0">
                  <c:v>Dealer Subs</c:v>
                </c:pt>
                <c:pt idx="1">
                  <c:v>Featured</c:v>
                </c:pt>
                <c:pt idx="2">
                  <c:v>Individual</c:v>
                </c:pt>
                <c:pt idx="3">
                  <c:v>Txn Comm</c:v>
                </c:pt>
                <c:pt idx="4">
                  <c:v>Ancillary</c:v>
                </c:pt>
                <c:pt idx="5">
                  <c:v>Data</c:v>
                </c:pt>
                <c:pt idx="6">
                  <c:v>Mkt/Ads</c:v>
                </c:pt>
              </c:strCache>
            </c:strRef>
          </c:cat>
          <c:val>
            <c:numRef>
              <c:f>Dashboard!$E$69</c:f>
              <c:numCache>
                <c:formatCode>\$#,##0;"($"#,##0\);\-</c:formatCode>
                <c:ptCount val="1"/>
                <c:pt idx="0">
                  <c:v>11550000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599-4223-9014-C8C78B274A21}"/>
            </c:ext>
          </c:extLst>
        </c:ser>
        <c:ser>
          <c:idx val="4"/>
          <c:order val="4"/>
          <c:spPr>
            <a:solidFill>
              <a:srgbClr val="4299B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Dashboard!$B$68:$H$68</c:f>
              <c:strCache>
                <c:ptCount val="7"/>
                <c:pt idx="0">
                  <c:v>Dealer Subs</c:v>
                </c:pt>
                <c:pt idx="1">
                  <c:v>Featured</c:v>
                </c:pt>
                <c:pt idx="2">
                  <c:v>Individual</c:v>
                </c:pt>
                <c:pt idx="3">
                  <c:v>Txn Comm</c:v>
                </c:pt>
                <c:pt idx="4">
                  <c:v>Ancillary</c:v>
                </c:pt>
                <c:pt idx="5">
                  <c:v>Data</c:v>
                </c:pt>
                <c:pt idx="6">
                  <c:v>Mkt/Ads</c:v>
                </c:pt>
              </c:strCache>
            </c:strRef>
          </c:cat>
          <c:val>
            <c:numRef>
              <c:f>Dashboard!$F$69</c:f>
              <c:numCache>
                <c:formatCode>\$#,##0;"($"#,##0\);\-</c:formatCode>
                <c:ptCount val="1"/>
                <c:pt idx="0">
                  <c:v>2030000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599-4223-9014-C8C78B274A21}"/>
            </c:ext>
          </c:extLst>
        </c:ser>
        <c:ser>
          <c:idx val="5"/>
          <c:order val="5"/>
          <c:spPr>
            <a:solidFill>
              <a:srgbClr val="DC853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Dashboard!$B$68:$H$68</c:f>
              <c:strCache>
                <c:ptCount val="7"/>
                <c:pt idx="0">
                  <c:v>Dealer Subs</c:v>
                </c:pt>
                <c:pt idx="1">
                  <c:v>Featured</c:v>
                </c:pt>
                <c:pt idx="2">
                  <c:v>Individual</c:v>
                </c:pt>
                <c:pt idx="3">
                  <c:v>Txn Comm</c:v>
                </c:pt>
                <c:pt idx="4">
                  <c:v>Ancillary</c:v>
                </c:pt>
                <c:pt idx="5">
                  <c:v>Data</c:v>
                </c:pt>
                <c:pt idx="6">
                  <c:v>Mkt/Ads</c:v>
                </c:pt>
              </c:strCache>
            </c:strRef>
          </c:cat>
          <c:val>
            <c:numRef>
              <c:f>Dashboard!$G$69</c:f>
              <c:numCache>
                <c:formatCode>\$#,##0;"($"#,##0\);\-</c:formatCode>
                <c:ptCount val="1"/>
                <c:pt idx="0">
                  <c:v>1890000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599-4223-9014-C8C78B274A21}"/>
            </c:ext>
          </c:extLst>
        </c:ser>
        <c:ser>
          <c:idx val="6"/>
          <c:order val="6"/>
          <c:spPr>
            <a:solidFill>
              <a:srgbClr val="93A9C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Dashboard!$B$68:$H$68</c:f>
              <c:strCache>
                <c:ptCount val="7"/>
                <c:pt idx="0">
                  <c:v>Dealer Subs</c:v>
                </c:pt>
                <c:pt idx="1">
                  <c:v>Featured</c:v>
                </c:pt>
                <c:pt idx="2">
                  <c:v>Individual</c:v>
                </c:pt>
                <c:pt idx="3">
                  <c:v>Txn Comm</c:v>
                </c:pt>
                <c:pt idx="4">
                  <c:v>Ancillary</c:v>
                </c:pt>
                <c:pt idx="5">
                  <c:v>Data</c:v>
                </c:pt>
                <c:pt idx="6">
                  <c:v>Mkt/Ads</c:v>
                </c:pt>
              </c:strCache>
            </c:strRef>
          </c:cat>
          <c:val>
            <c:numRef>
              <c:f>Dashboard!$H$69</c:f>
              <c:numCache>
                <c:formatCode>\$#,##0;"($"#,##0\);\-</c:formatCode>
                <c:ptCount val="1"/>
                <c:pt idx="0">
                  <c:v>3780000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599-4223-9014-C8C78B274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326800"/>
        <c:axId val="78304365"/>
      </c:barChart>
      <c:catAx>
        <c:axId val="783268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78304365"/>
        <c:crosses val="autoZero"/>
        <c:auto val="1"/>
        <c:lblAlgn val="ctr"/>
        <c:lblOffset val="100"/>
        <c:noMultiLvlLbl val="0"/>
      </c:catAx>
      <c:valAx>
        <c:axId val="783043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7832680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160560</xdr:rowOff>
    </xdr:from>
    <xdr:to>
      <xdr:col>7</xdr:col>
      <xdr:colOff>588600</xdr:colOff>
      <xdr:row>44</xdr:row>
      <xdr:rowOff>56160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33</xdr:row>
      <xdr:rowOff>160920</xdr:rowOff>
    </xdr:from>
    <xdr:to>
      <xdr:col>7</xdr:col>
      <xdr:colOff>588600</xdr:colOff>
      <xdr:row>60</xdr:row>
      <xdr:rowOff>56160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49</xdr:row>
      <xdr:rowOff>160560</xdr:rowOff>
    </xdr:from>
    <xdr:to>
      <xdr:col>7</xdr:col>
      <xdr:colOff>588600</xdr:colOff>
      <xdr:row>76</xdr:row>
      <xdr:rowOff>55800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69</xdr:row>
      <xdr:rowOff>160920</xdr:rowOff>
    </xdr:from>
    <xdr:to>
      <xdr:col>7</xdr:col>
      <xdr:colOff>588600</xdr:colOff>
      <xdr:row>96</xdr:row>
      <xdr:rowOff>56160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2A4A"/>
  </sheetPr>
  <dimension ref="A1:H48"/>
  <sheetViews>
    <sheetView topLeftCell="A33" zoomScaleNormal="100" workbookViewId="0">
      <selection activeCell="B44" sqref="B44"/>
    </sheetView>
  </sheetViews>
  <sheetFormatPr defaultColWidth="8.6328125" defaultRowHeight="14.5" x14ac:dyDescent="0.35"/>
  <cols>
    <col min="1" max="1" width="42" customWidth="1"/>
    <col min="2" max="8" width="17" customWidth="1"/>
  </cols>
  <sheetData>
    <row r="1" spans="1:8" ht="17.25" customHeight="1" x14ac:dyDescent="0.4">
      <c r="A1" s="1" t="s">
        <v>0</v>
      </c>
    </row>
    <row r="2" spans="1:8" ht="15" customHeight="1" x14ac:dyDescent="0.35">
      <c r="A2" s="2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spans="1:8" ht="15" customHeight="1" x14ac:dyDescent="0.35">
      <c r="A3" s="3" t="s">
        <v>8</v>
      </c>
      <c r="B3" s="4"/>
      <c r="C3" s="4"/>
      <c r="D3" s="4"/>
      <c r="E3" s="4"/>
      <c r="F3" s="4"/>
      <c r="G3" s="4"/>
      <c r="H3" s="4"/>
    </row>
    <row r="4" spans="1:8" ht="15" customHeight="1" x14ac:dyDescent="0.35">
      <c r="A4" s="5" t="s">
        <v>9</v>
      </c>
      <c r="B4" s="6"/>
      <c r="C4" s="7">
        <v>40.07</v>
      </c>
      <c r="D4" s="8">
        <f>C4*(1+$C$5)</f>
        <v>42.862879000000007</v>
      </c>
      <c r="E4" s="8">
        <f>D4*(1+$C$5)</f>
        <v>45.850421666300008</v>
      </c>
      <c r="F4" s="8">
        <f>E4*(1+$C$5)</f>
        <v>49.046196056441126</v>
      </c>
      <c r="G4" s="8">
        <f>F4*(1+$C$5)</f>
        <v>52.464715921575078</v>
      </c>
      <c r="H4" s="5" t="s">
        <v>10</v>
      </c>
    </row>
    <row r="5" spans="1:8" ht="15" customHeight="1" x14ac:dyDescent="0.35">
      <c r="A5" s="9" t="s">
        <v>11</v>
      </c>
      <c r="C5" s="10">
        <v>6.9699999999999998E-2</v>
      </c>
    </row>
    <row r="6" spans="1:8" ht="15" customHeight="1" x14ac:dyDescent="0.35">
      <c r="A6" s="5" t="s">
        <v>12</v>
      </c>
      <c r="B6" s="6"/>
      <c r="C6" s="11">
        <v>10060</v>
      </c>
      <c r="D6" s="12">
        <f>ROUND(C6*(1+$C$7),0)</f>
        <v>10301</v>
      </c>
      <c r="E6" s="12">
        <f>ROUND(D6*(1+$C$7),0)</f>
        <v>10548</v>
      </c>
      <c r="F6" s="12">
        <f>ROUND(E6*(1+$C$7),0)</f>
        <v>10801</v>
      </c>
      <c r="G6" s="12">
        <f>ROUND(F6*(1+$C$7),0)</f>
        <v>11060</v>
      </c>
      <c r="H6" s="5" t="s">
        <v>13</v>
      </c>
    </row>
    <row r="7" spans="1:8" ht="15" customHeight="1" x14ac:dyDescent="0.35">
      <c r="A7" s="9" t="s">
        <v>14</v>
      </c>
      <c r="C7" s="10">
        <v>2.4E-2</v>
      </c>
    </row>
    <row r="8" spans="1:8" ht="15" customHeight="1" x14ac:dyDescent="0.35">
      <c r="A8" s="5" t="s">
        <v>15</v>
      </c>
      <c r="B8" s="6"/>
      <c r="C8" s="11">
        <v>800</v>
      </c>
      <c r="D8" s="12">
        <f>ROUND(C8*(1+$C$5),0)</f>
        <v>856</v>
      </c>
      <c r="E8" s="12">
        <f>ROUND(D8*(1+$C$5),0)</f>
        <v>916</v>
      </c>
      <c r="F8" s="12">
        <f>ROUND(E8*(1+$C$5),0)</f>
        <v>980</v>
      </c>
      <c r="G8" s="12">
        <f>ROUND(F8*(1+$C$5),0)</f>
        <v>1048</v>
      </c>
      <c r="H8" s="5" t="s">
        <v>16</v>
      </c>
    </row>
    <row r="10" spans="1:8" ht="15" customHeight="1" x14ac:dyDescent="0.35">
      <c r="A10" s="3" t="s">
        <v>17</v>
      </c>
      <c r="B10" s="4"/>
      <c r="C10" s="4"/>
      <c r="D10" s="4"/>
      <c r="E10" s="4"/>
      <c r="F10" s="4"/>
      <c r="G10" s="4"/>
      <c r="H10" s="4"/>
    </row>
    <row r="11" spans="1:8" ht="15" customHeight="1" x14ac:dyDescent="0.35">
      <c r="A11" s="5" t="s">
        <v>18</v>
      </c>
      <c r="B11" s="11">
        <v>0</v>
      </c>
      <c r="C11" s="11">
        <v>40</v>
      </c>
      <c r="D11" s="11">
        <v>150</v>
      </c>
      <c r="E11" s="11">
        <v>380</v>
      </c>
      <c r="F11" s="11">
        <v>650</v>
      </c>
      <c r="G11" s="11">
        <v>1000</v>
      </c>
      <c r="H11" s="5"/>
    </row>
    <row r="12" spans="1:8" ht="15" customHeight="1" x14ac:dyDescent="0.35">
      <c r="A12" s="5" t="s">
        <v>19</v>
      </c>
      <c r="B12" s="11">
        <v>0</v>
      </c>
      <c r="C12" s="11">
        <v>600</v>
      </c>
      <c r="D12" s="11">
        <v>2200</v>
      </c>
      <c r="E12" s="11">
        <v>5500</v>
      </c>
      <c r="F12" s="11">
        <v>10000</v>
      </c>
      <c r="G12" s="11">
        <v>18000</v>
      </c>
      <c r="H12" s="5"/>
    </row>
    <row r="13" spans="1:8" ht="15" customHeight="1" x14ac:dyDescent="0.35">
      <c r="A13" s="5" t="s">
        <v>20</v>
      </c>
      <c r="B13" s="11">
        <v>0</v>
      </c>
      <c r="C13" s="11">
        <v>25000</v>
      </c>
      <c r="D13" s="11">
        <v>120000</v>
      </c>
      <c r="E13" s="11">
        <v>400000</v>
      </c>
      <c r="F13" s="11">
        <v>800000</v>
      </c>
      <c r="G13" s="11">
        <v>1500000</v>
      </c>
      <c r="H13" s="5"/>
    </row>
    <row r="14" spans="1:8" ht="15" customHeight="1" x14ac:dyDescent="0.35">
      <c r="A14" s="5" t="s">
        <v>21</v>
      </c>
      <c r="B14" s="6"/>
      <c r="C14" s="13">
        <v>850000</v>
      </c>
      <c r="D14" s="13">
        <v>900000</v>
      </c>
      <c r="E14" s="13">
        <v>950000</v>
      </c>
      <c r="F14" s="13">
        <v>1000000</v>
      </c>
      <c r="G14" s="13">
        <v>1050000</v>
      </c>
      <c r="H14" s="5" t="s">
        <v>22</v>
      </c>
    </row>
    <row r="15" spans="1:8" ht="15" customHeight="1" x14ac:dyDescent="0.35">
      <c r="A15" s="5" t="s">
        <v>23</v>
      </c>
      <c r="B15" s="11">
        <v>0</v>
      </c>
      <c r="C15" s="11">
        <v>15</v>
      </c>
      <c r="D15" s="11">
        <v>80</v>
      </c>
      <c r="E15" s="11">
        <v>250</v>
      </c>
      <c r="F15" s="11">
        <v>550</v>
      </c>
      <c r="G15" s="11">
        <v>1100</v>
      </c>
      <c r="H15" s="5" t="s">
        <v>24</v>
      </c>
    </row>
    <row r="17" spans="1:8" ht="15" customHeight="1" x14ac:dyDescent="0.35">
      <c r="A17" s="3" t="s">
        <v>25</v>
      </c>
      <c r="B17" s="4"/>
      <c r="C17" s="4"/>
      <c r="D17" s="4"/>
      <c r="E17" s="4"/>
      <c r="F17" s="4"/>
      <c r="G17" s="4"/>
      <c r="H17" s="4"/>
    </row>
    <row r="18" spans="1:8" ht="15" customHeight="1" x14ac:dyDescent="0.35">
      <c r="A18" s="5" t="s">
        <v>26</v>
      </c>
      <c r="B18" s="6"/>
      <c r="C18" s="13">
        <v>180</v>
      </c>
      <c r="D18" s="13">
        <v>220</v>
      </c>
      <c r="E18" s="13">
        <v>260</v>
      </c>
      <c r="F18" s="13">
        <v>300</v>
      </c>
      <c r="G18" s="13">
        <v>340</v>
      </c>
      <c r="H18" s="5" t="s">
        <v>27</v>
      </c>
    </row>
    <row r="19" spans="1:8" ht="15" customHeight="1" x14ac:dyDescent="0.35">
      <c r="A19" s="5" t="s">
        <v>28</v>
      </c>
      <c r="B19" s="6"/>
      <c r="C19" s="13">
        <v>350</v>
      </c>
      <c r="D19" s="13">
        <v>400</v>
      </c>
      <c r="E19" s="13">
        <v>450</v>
      </c>
      <c r="F19" s="13">
        <v>500</v>
      </c>
      <c r="G19" s="13">
        <v>550</v>
      </c>
      <c r="H19" s="5"/>
    </row>
    <row r="20" spans="1:8" ht="15" customHeight="1" x14ac:dyDescent="0.35">
      <c r="A20" s="5" t="s">
        <v>29</v>
      </c>
      <c r="B20" s="11">
        <v>0</v>
      </c>
      <c r="C20" s="11">
        <v>120</v>
      </c>
      <c r="D20" s="11">
        <v>450</v>
      </c>
      <c r="E20" s="11">
        <v>1100</v>
      </c>
      <c r="F20" s="11">
        <v>2000</v>
      </c>
      <c r="G20" s="11">
        <v>3500</v>
      </c>
      <c r="H20" s="5"/>
    </row>
    <row r="21" spans="1:8" ht="15" customHeight="1" x14ac:dyDescent="0.35">
      <c r="A21" s="5" t="s">
        <v>30</v>
      </c>
      <c r="B21" s="6"/>
      <c r="C21" s="13">
        <v>80</v>
      </c>
      <c r="D21" s="13">
        <v>90</v>
      </c>
      <c r="E21" s="13">
        <v>100</v>
      </c>
      <c r="F21" s="13">
        <v>110</v>
      </c>
      <c r="G21" s="13">
        <v>120</v>
      </c>
      <c r="H21" s="5"/>
    </row>
    <row r="22" spans="1:8" ht="15" customHeight="1" x14ac:dyDescent="0.35">
      <c r="A22" s="5" t="s">
        <v>31</v>
      </c>
      <c r="B22" s="11">
        <v>0</v>
      </c>
      <c r="C22" s="11">
        <v>200</v>
      </c>
      <c r="D22" s="11">
        <v>800</v>
      </c>
      <c r="E22" s="11">
        <v>2000</v>
      </c>
      <c r="F22" s="11">
        <v>4000</v>
      </c>
      <c r="G22" s="11">
        <v>7000</v>
      </c>
      <c r="H22" s="5"/>
    </row>
    <row r="23" spans="1:8" ht="15" customHeight="1" x14ac:dyDescent="0.35">
      <c r="A23" s="14" t="s">
        <v>32</v>
      </c>
      <c r="B23" s="15">
        <v>0</v>
      </c>
      <c r="C23" s="15">
        <v>5.0000000000000001E-3</v>
      </c>
      <c r="D23" s="15">
        <v>8.0000000000000002E-3</v>
      </c>
      <c r="E23" s="10">
        <v>0.01</v>
      </c>
      <c r="F23" s="10">
        <v>0.01</v>
      </c>
      <c r="G23" s="10">
        <v>0.01</v>
      </c>
    </row>
    <row r="24" spans="1:8" ht="15" customHeight="1" x14ac:dyDescent="0.35">
      <c r="A24" s="5" t="s">
        <v>33</v>
      </c>
      <c r="B24" s="6"/>
      <c r="C24" s="13">
        <v>500</v>
      </c>
      <c r="D24" s="13">
        <v>600</v>
      </c>
      <c r="E24" s="13">
        <v>700</v>
      </c>
      <c r="F24" s="13">
        <v>750</v>
      </c>
      <c r="G24" s="13">
        <v>800</v>
      </c>
      <c r="H24" s="5"/>
    </row>
    <row r="25" spans="1:8" ht="15" customHeight="1" x14ac:dyDescent="0.35">
      <c r="A25" s="5" t="s">
        <v>34</v>
      </c>
      <c r="B25" s="11">
        <v>0</v>
      </c>
      <c r="C25" s="11">
        <v>10</v>
      </c>
      <c r="D25" s="11">
        <v>50</v>
      </c>
      <c r="E25" s="11">
        <v>180</v>
      </c>
      <c r="F25" s="11">
        <v>400</v>
      </c>
      <c r="G25" s="11">
        <v>800</v>
      </c>
      <c r="H25" s="5"/>
    </row>
    <row r="26" spans="1:8" ht="15" customHeight="1" x14ac:dyDescent="0.35">
      <c r="A26" s="5" t="s">
        <v>35</v>
      </c>
      <c r="B26" s="6"/>
      <c r="C26" s="13">
        <v>800</v>
      </c>
      <c r="D26" s="13">
        <v>900</v>
      </c>
      <c r="E26" s="13">
        <v>1000</v>
      </c>
      <c r="F26" s="13">
        <v>1000</v>
      </c>
      <c r="G26" s="13">
        <v>1000</v>
      </c>
      <c r="H26" s="5"/>
    </row>
    <row r="27" spans="1:8" ht="15" customHeight="1" x14ac:dyDescent="0.35">
      <c r="A27" s="5" t="s">
        <v>36</v>
      </c>
      <c r="B27" s="11">
        <v>0</v>
      </c>
      <c r="C27" s="11">
        <v>10</v>
      </c>
      <c r="D27" s="11">
        <v>60</v>
      </c>
      <c r="E27" s="11">
        <v>200</v>
      </c>
      <c r="F27" s="11">
        <v>450</v>
      </c>
      <c r="G27" s="11">
        <v>900</v>
      </c>
      <c r="H27" s="5"/>
    </row>
    <row r="28" spans="1:8" ht="15" customHeight="1" x14ac:dyDescent="0.35">
      <c r="A28" s="5" t="s">
        <v>37</v>
      </c>
      <c r="B28" s="6"/>
      <c r="C28" s="13">
        <v>400</v>
      </c>
      <c r="D28" s="13">
        <v>500</v>
      </c>
      <c r="E28" s="13">
        <v>600</v>
      </c>
      <c r="F28" s="13">
        <v>650</v>
      </c>
      <c r="G28" s="13">
        <v>700</v>
      </c>
      <c r="H28" s="5"/>
    </row>
    <row r="29" spans="1:8" ht="15" customHeight="1" x14ac:dyDescent="0.35">
      <c r="A29" s="5" t="s">
        <v>38</v>
      </c>
      <c r="B29" s="11">
        <v>0</v>
      </c>
      <c r="C29" s="11">
        <v>8</v>
      </c>
      <c r="D29" s="11">
        <v>45</v>
      </c>
      <c r="E29" s="11">
        <v>150</v>
      </c>
      <c r="F29" s="11">
        <v>350</v>
      </c>
      <c r="G29" s="11">
        <v>700</v>
      </c>
      <c r="H29" s="5"/>
    </row>
    <row r="30" spans="1:8" ht="15" customHeight="1" x14ac:dyDescent="0.35">
      <c r="A30" s="5" t="s">
        <v>39</v>
      </c>
      <c r="B30" s="11">
        <v>0</v>
      </c>
      <c r="C30" s="11">
        <v>10</v>
      </c>
      <c r="D30" s="11">
        <v>40</v>
      </c>
      <c r="E30" s="11">
        <v>100</v>
      </c>
      <c r="F30" s="11">
        <v>200</v>
      </c>
      <c r="G30" s="11">
        <v>350</v>
      </c>
      <c r="H30" s="5"/>
    </row>
    <row r="31" spans="1:8" ht="15" customHeight="1" x14ac:dyDescent="0.35">
      <c r="A31" s="5" t="s">
        <v>40</v>
      </c>
      <c r="B31" s="6"/>
      <c r="C31" s="13">
        <v>250</v>
      </c>
      <c r="D31" s="13">
        <v>300</v>
      </c>
      <c r="E31" s="13">
        <v>350</v>
      </c>
      <c r="F31" s="13">
        <v>400</v>
      </c>
      <c r="G31" s="13">
        <v>450</v>
      </c>
      <c r="H31" s="5"/>
    </row>
    <row r="32" spans="1:8" ht="15" customHeight="1" x14ac:dyDescent="0.35">
      <c r="A32" s="3" t="s">
        <v>41</v>
      </c>
      <c r="B32" s="4"/>
      <c r="C32" s="4"/>
      <c r="D32" s="4"/>
      <c r="E32" s="4"/>
      <c r="F32" s="4"/>
      <c r="G32" s="4"/>
      <c r="H32" s="4"/>
    </row>
    <row r="33" spans="1:8" ht="15" customHeight="1" x14ac:dyDescent="0.35">
      <c r="A33" s="5" t="s">
        <v>42</v>
      </c>
      <c r="B33" s="11">
        <v>0</v>
      </c>
      <c r="C33" s="11">
        <v>3</v>
      </c>
      <c r="D33" s="11">
        <v>12</v>
      </c>
      <c r="E33" s="11">
        <v>30</v>
      </c>
      <c r="F33" s="11">
        <v>55</v>
      </c>
      <c r="G33" s="11">
        <v>90</v>
      </c>
      <c r="H33" s="5" t="s">
        <v>43</v>
      </c>
    </row>
    <row r="34" spans="1:8" ht="15" customHeight="1" x14ac:dyDescent="0.35">
      <c r="A34" s="5" t="s">
        <v>44</v>
      </c>
      <c r="B34" s="6"/>
      <c r="C34" s="13">
        <v>1500</v>
      </c>
      <c r="D34" s="13">
        <v>2000</v>
      </c>
      <c r="E34" s="13">
        <v>2500</v>
      </c>
      <c r="F34" s="13">
        <v>3000</v>
      </c>
      <c r="G34" s="13">
        <v>3500</v>
      </c>
      <c r="H34" s="5" t="s">
        <v>45</v>
      </c>
    </row>
    <row r="36" spans="1:8" ht="15" customHeight="1" x14ac:dyDescent="0.35">
      <c r="A36" s="3" t="s">
        <v>46</v>
      </c>
      <c r="B36" s="4"/>
      <c r="C36" s="4"/>
      <c r="D36" s="4"/>
      <c r="E36" s="4"/>
      <c r="F36" s="4"/>
      <c r="G36" s="4"/>
      <c r="H36" s="4"/>
    </row>
    <row r="37" spans="1:8" ht="15" customHeight="1" x14ac:dyDescent="0.35">
      <c r="A37" s="5" t="s">
        <v>47</v>
      </c>
      <c r="B37" s="11">
        <v>2</v>
      </c>
      <c r="C37" s="11">
        <v>8</v>
      </c>
      <c r="D37" s="11">
        <v>14</v>
      </c>
      <c r="E37" s="11">
        <v>22</v>
      </c>
      <c r="F37" s="11">
        <v>32</v>
      </c>
      <c r="G37" s="11">
        <v>45</v>
      </c>
      <c r="H37" s="5"/>
    </row>
    <row r="38" spans="1:8" ht="15" customHeight="1" x14ac:dyDescent="0.35">
      <c r="A38" s="5" t="s">
        <v>48</v>
      </c>
      <c r="B38" s="6"/>
      <c r="C38" s="13">
        <v>60000</v>
      </c>
      <c r="D38" s="13">
        <v>65000</v>
      </c>
      <c r="E38" s="13">
        <v>70000</v>
      </c>
      <c r="F38" s="13">
        <v>75000</v>
      </c>
      <c r="G38" s="13">
        <v>80000</v>
      </c>
      <c r="H38" s="5" t="s">
        <v>49</v>
      </c>
    </row>
    <row r="39" spans="1:8" ht="15" customHeight="1" x14ac:dyDescent="0.35">
      <c r="A39" s="5" t="s">
        <v>50</v>
      </c>
      <c r="B39" s="13">
        <v>500</v>
      </c>
      <c r="C39" s="13">
        <v>2000</v>
      </c>
      <c r="D39" s="13">
        <v>4500</v>
      </c>
      <c r="E39" s="13">
        <v>8000</v>
      </c>
      <c r="F39" s="13">
        <v>14000</v>
      </c>
      <c r="G39" s="13">
        <v>22000</v>
      </c>
      <c r="H39" s="5" t="s">
        <v>51</v>
      </c>
    </row>
    <row r="40" spans="1:8" ht="15" customHeight="1" x14ac:dyDescent="0.35">
      <c r="A40" s="5" t="s">
        <v>52</v>
      </c>
      <c r="B40" s="6"/>
      <c r="C40" s="16">
        <v>0.55000000000000004</v>
      </c>
      <c r="D40" s="16">
        <v>0.4</v>
      </c>
      <c r="E40" s="16">
        <v>0.3</v>
      </c>
      <c r="F40" s="16">
        <v>0.22</v>
      </c>
      <c r="G40" s="16">
        <v>0.18</v>
      </c>
      <c r="H40" s="5" t="s">
        <v>53</v>
      </c>
    </row>
    <row r="41" spans="1:8" ht="15" customHeight="1" x14ac:dyDescent="0.35">
      <c r="A41" s="9" t="s">
        <v>54</v>
      </c>
      <c r="C41" s="15">
        <v>0.15</v>
      </c>
      <c r="D41" s="15">
        <v>0.15</v>
      </c>
      <c r="E41" s="15">
        <v>0.15</v>
      </c>
      <c r="F41" s="15">
        <v>0.15</v>
      </c>
      <c r="G41" s="15">
        <v>0.15</v>
      </c>
    </row>
    <row r="42" spans="1:8" ht="15" customHeight="1" x14ac:dyDescent="0.35">
      <c r="A42" s="9" t="s">
        <v>55</v>
      </c>
      <c r="C42" s="15">
        <v>0.2</v>
      </c>
      <c r="D42" s="15">
        <v>0.2</v>
      </c>
      <c r="E42" s="15">
        <v>0.2</v>
      </c>
      <c r="F42" s="15">
        <v>0.2</v>
      </c>
      <c r="G42" s="15">
        <v>0.2</v>
      </c>
    </row>
    <row r="43" spans="1:8" ht="15" customHeight="1" x14ac:dyDescent="0.35">
      <c r="A43" s="5" t="s">
        <v>56</v>
      </c>
      <c r="B43" s="13">
        <v>350000</v>
      </c>
      <c r="C43" s="13">
        <v>180000</v>
      </c>
      <c r="D43" s="13">
        <v>250000</v>
      </c>
      <c r="E43" s="13">
        <v>200000</v>
      </c>
      <c r="F43" s="13">
        <v>300000</v>
      </c>
      <c r="G43" s="13">
        <v>400000</v>
      </c>
      <c r="H43" s="5" t="s">
        <v>57</v>
      </c>
    </row>
    <row r="44" spans="1:8" ht="15" customHeight="1" x14ac:dyDescent="0.35">
      <c r="A44" s="17" t="s">
        <v>58</v>
      </c>
      <c r="B44" s="18">
        <v>920000</v>
      </c>
    </row>
    <row r="46" spans="1:8" ht="15" customHeight="1" x14ac:dyDescent="0.35">
      <c r="A46" s="3" t="s">
        <v>59</v>
      </c>
      <c r="B46" s="4"/>
      <c r="C46" s="4"/>
      <c r="D46" s="4"/>
      <c r="E46" s="4"/>
      <c r="F46" s="4"/>
      <c r="G46" s="4"/>
      <c r="H46" s="4"/>
    </row>
    <row r="47" spans="1:8" ht="15" customHeight="1" x14ac:dyDescent="0.35">
      <c r="A47" s="17" t="s">
        <v>60</v>
      </c>
      <c r="B47" s="19">
        <v>10</v>
      </c>
    </row>
    <row r="48" spans="1:8" ht="15" customHeight="1" x14ac:dyDescent="0.35">
      <c r="A48" s="9" t="s">
        <v>61</v>
      </c>
      <c r="B48" s="10">
        <v>0.2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H50"/>
  <sheetViews>
    <sheetView topLeftCell="A4" zoomScaleNormal="100" workbookViewId="0">
      <selection activeCell="C15" sqref="C15"/>
    </sheetView>
  </sheetViews>
  <sheetFormatPr defaultColWidth="8.6328125" defaultRowHeight="14.5" x14ac:dyDescent="0.35"/>
  <cols>
    <col min="1" max="1" width="42" customWidth="1"/>
    <col min="2" max="8" width="17" customWidth="1"/>
  </cols>
  <sheetData>
    <row r="1" spans="1:8" ht="17.25" customHeight="1" x14ac:dyDescent="0.4">
      <c r="A1" s="1" t="s">
        <v>62</v>
      </c>
    </row>
    <row r="2" spans="1:8" ht="15" customHeight="1" x14ac:dyDescent="0.35">
      <c r="A2" s="2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spans="1:8" ht="15" customHeight="1" x14ac:dyDescent="0.35">
      <c r="A3" s="3" t="s">
        <v>63</v>
      </c>
      <c r="B3" s="4"/>
      <c r="C3" s="4"/>
      <c r="D3" s="4"/>
      <c r="E3" s="4"/>
      <c r="F3" s="4"/>
      <c r="G3" s="4"/>
      <c r="H3" s="4"/>
    </row>
    <row r="4" spans="1:8" ht="15" customHeight="1" x14ac:dyDescent="0.35">
      <c r="A4" s="20" t="s">
        <v>64</v>
      </c>
      <c r="B4" s="21">
        <f>Assumptions!B11</f>
        <v>0</v>
      </c>
      <c r="C4" s="21">
        <f>Assumptions!C11</f>
        <v>40</v>
      </c>
      <c r="D4" s="21">
        <f>Assumptions!D11</f>
        <v>150</v>
      </c>
      <c r="E4" s="21">
        <f>Assumptions!E11</f>
        <v>380</v>
      </c>
      <c r="F4" s="21">
        <f>Assumptions!F11</f>
        <v>650</v>
      </c>
      <c r="G4" s="21">
        <f>Assumptions!G11</f>
        <v>1000</v>
      </c>
    </row>
    <row r="5" spans="1:8" ht="15" customHeight="1" x14ac:dyDescent="0.35">
      <c r="A5" s="20" t="s">
        <v>65</v>
      </c>
      <c r="C5" s="22">
        <f>Assumptions!C18</f>
        <v>180</v>
      </c>
      <c r="D5" s="22">
        <f>Assumptions!D18</f>
        <v>220</v>
      </c>
      <c r="E5" s="22">
        <f>Assumptions!E18</f>
        <v>260</v>
      </c>
      <c r="F5" s="22">
        <f>Assumptions!F18</f>
        <v>300</v>
      </c>
      <c r="G5" s="22">
        <f>Assumptions!G18</f>
        <v>340</v>
      </c>
    </row>
    <row r="6" spans="1:8" ht="15" customHeight="1" x14ac:dyDescent="0.35">
      <c r="A6" s="23" t="s">
        <v>66</v>
      </c>
      <c r="B6" s="23">
        <v>0</v>
      </c>
      <c r="C6" s="24">
        <f>C4*C5*12</f>
        <v>86400</v>
      </c>
      <c r="D6" s="24">
        <f>D4*D5*12</f>
        <v>396000</v>
      </c>
      <c r="E6" s="24">
        <f>E4*E5*12</f>
        <v>1185600</v>
      </c>
      <c r="F6" s="24">
        <f>F4*F5*12</f>
        <v>2340000</v>
      </c>
      <c r="G6" s="24">
        <f>G4*G5*12</f>
        <v>4080000</v>
      </c>
    </row>
    <row r="8" spans="1:8" ht="15" customHeight="1" x14ac:dyDescent="0.35">
      <c r="A8" s="3" t="s">
        <v>67</v>
      </c>
      <c r="B8" s="4"/>
      <c r="C8" s="4"/>
      <c r="D8" s="4"/>
      <c r="E8" s="4"/>
      <c r="F8" s="4"/>
      <c r="G8" s="4"/>
      <c r="H8" s="4"/>
    </row>
    <row r="9" spans="1:8" ht="15" customHeight="1" x14ac:dyDescent="0.35">
      <c r="A9" s="20" t="s">
        <v>68</v>
      </c>
      <c r="B9" s="21">
        <f>Assumptions!B20</f>
        <v>0</v>
      </c>
      <c r="C9" s="21">
        <f>Assumptions!C20</f>
        <v>120</v>
      </c>
      <c r="D9" s="21">
        <f>Assumptions!D20</f>
        <v>450</v>
      </c>
      <c r="E9" s="21">
        <f>Assumptions!E20</f>
        <v>1100</v>
      </c>
      <c r="F9" s="21">
        <f>Assumptions!F20</f>
        <v>2000</v>
      </c>
      <c r="G9" s="21">
        <f>Assumptions!G20</f>
        <v>3500</v>
      </c>
    </row>
    <row r="10" spans="1:8" ht="15" customHeight="1" x14ac:dyDescent="0.35">
      <c r="A10" s="20" t="s">
        <v>69</v>
      </c>
      <c r="C10" s="22">
        <f>Assumptions!C19</f>
        <v>350</v>
      </c>
      <c r="D10" s="22">
        <f>Assumptions!D19</f>
        <v>400</v>
      </c>
      <c r="E10" s="22">
        <f>Assumptions!E19</f>
        <v>450</v>
      </c>
      <c r="F10" s="22">
        <f>Assumptions!F19</f>
        <v>500</v>
      </c>
      <c r="G10" s="22">
        <f>Assumptions!G19</f>
        <v>550</v>
      </c>
    </row>
    <row r="11" spans="1:8" ht="15" customHeight="1" x14ac:dyDescent="0.35">
      <c r="A11" s="23" t="s">
        <v>70</v>
      </c>
      <c r="B11" s="23">
        <v>0</v>
      </c>
      <c r="C11" s="24">
        <f>C9*C10</f>
        <v>42000</v>
      </c>
      <c r="D11" s="24">
        <f>D9*D10</f>
        <v>180000</v>
      </c>
      <c r="E11" s="24">
        <f>E9*E10</f>
        <v>495000</v>
      </c>
      <c r="F11" s="24">
        <f>F9*F10</f>
        <v>1000000</v>
      </c>
      <c r="G11" s="24">
        <f>G9*G10</f>
        <v>1925000</v>
      </c>
    </row>
    <row r="13" spans="1:8" ht="15" customHeight="1" x14ac:dyDescent="0.35">
      <c r="A13" s="3" t="s">
        <v>71</v>
      </c>
      <c r="B13" s="4"/>
      <c r="C13" s="4"/>
      <c r="D13" s="4"/>
      <c r="E13" s="4"/>
      <c r="F13" s="4"/>
      <c r="G13" s="4"/>
      <c r="H13" s="4"/>
    </row>
    <row r="14" spans="1:8" ht="15" customHeight="1" x14ac:dyDescent="0.35">
      <c r="A14" s="20" t="s">
        <v>68</v>
      </c>
      <c r="B14" s="21">
        <f>Assumptions!B22</f>
        <v>0</v>
      </c>
      <c r="C14" s="21">
        <f>Assumptions!C22</f>
        <v>200</v>
      </c>
      <c r="D14" s="21">
        <f>Assumptions!D22</f>
        <v>800</v>
      </c>
      <c r="E14" s="21">
        <f>Assumptions!E22</f>
        <v>2000</v>
      </c>
      <c r="F14" s="21">
        <f>Assumptions!F22</f>
        <v>4000</v>
      </c>
      <c r="G14" s="21">
        <f>Assumptions!G22</f>
        <v>7000</v>
      </c>
    </row>
    <row r="15" spans="1:8" ht="15" customHeight="1" x14ac:dyDescent="0.35">
      <c r="A15" s="20" t="s">
        <v>69</v>
      </c>
      <c r="C15" s="22">
        <f>Assumptions!C21</f>
        <v>80</v>
      </c>
      <c r="D15" s="22">
        <f>Assumptions!D21</f>
        <v>90</v>
      </c>
      <c r="E15" s="22">
        <f>Assumptions!E21</f>
        <v>100</v>
      </c>
      <c r="F15" s="22">
        <f>Assumptions!F21</f>
        <v>110</v>
      </c>
      <c r="G15" s="22">
        <f>Assumptions!G21</f>
        <v>120</v>
      </c>
    </row>
    <row r="16" spans="1:8" ht="15" customHeight="1" x14ac:dyDescent="0.35">
      <c r="A16" s="23" t="s">
        <v>72</v>
      </c>
      <c r="B16" s="23">
        <v>0</v>
      </c>
      <c r="C16" s="24">
        <f>C14*C15</f>
        <v>16000</v>
      </c>
      <c r="D16" s="24">
        <f>D14*D15</f>
        <v>72000</v>
      </c>
      <c r="E16" s="24">
        <f>E14*E15</f>
        <v>200000</v>
      </c>
      <c r="F16" s="24">
        <f>F14*F15</f>
        <v>440000</v>
      </c>
      <c r="G16" s="24">
        <f>G14*G15</f>
        <v>840000</v>
      </c>
    </row>
    <row r="18" spans="1:8" ht="15" customHeight="1" x14ac:dyDescent="0.35">
      <c r="A18" s="3" t="s">
        <v>73</v>
      </c>
      <c r="B18" s="4"/>
      <c r="C18" s="4"/>
      <c r="D18" s="4"/>
      <c r="E18" s="4"/>
      <c r="F18" s="4"/>
      <c r="G18" s="4"/>
      <c r="H18" s="4"/>
    </row>
    <row r="19" spans="1:8" ht="15" customHeight="1" x14ac:dyDescent="0.35">
      <c r="A19" s="20" t="s">
        <v>74</v>
      </c>
      <c r="B19" s="21">
        <f>Assumptions!B15</f>
        <v>0</v>
      </c>
      <c r="C19" s="21">
        <f>Assumptions!C15</f>
        <v>15</v>
      </c>
      <c r="D19" s="21">
        <f>Assumptions!D15</f>
        <v>80</v>
      </c>
      <c r="E19" s="21">
        <f>Assumptions!E15</f>
        <v>250</v>
      </c>
      <c r="F19" s="21">
        <f>Assumptions!F15</f>
        <v>550</v>
      </c>
      <c r="G19" s="21">
        <f>Assumptions!G15</f>
        <v>1100</v>
      </c>
    </row>
    <row r="20" spans="1:8" ht="15" customHeight="1" x14ac:dyDescent="0.35">
      <c r="A20" s="20" t="s">
        <v>75</v>
      </c>
      <c r="C20" s="22">
        <f>Assumptions!C14</f>
        <v>850000</v>
      </c>
      <c r="D20" s="22">
        <f>Assumptions!D14</f>
        <v>900000</v>
      </c>
      <c r="E20" s="22">
        <f>Assumptions!E14</f>
        <v>950000</v>
      </c>
      <c r="F20" s="22">
        <f>Assumptions!F14</f>
        <v>1000000</v>
      </c>
      <c r="G20" s="22">
        <f>Assumptions!G14</f>
        <v>1050000</v>
      </c>
    </row>
    <row r="21" spans="1:8" ht="15" customHeight="1" x14ac:dyDescent="0.35">
      <c r="A21" s="20" t="s">
        <v>76</v>
      </c>
      <c r="C21" s="25">
        <f>Assumptions!C23</f>
        <v>5.0000000000000001E-3</v>
      </c>
      <c r="D21" s="25">
        <f>Assumptions!D23</f>
        <v>8.0000000000000002E-3</v>
      </c>
      <c r="E21" s="25">
        <f>Assumptions!E23</f>
        <v>0.01</v>
      </c>
      <c r="F21" s="25">
        <f>Assumptions!F23</f>
        <v>0.01</v>
      </c>
      <c r="G21" s="25">
        <f>Assumptions!G23</f>
        <v>0.01</v>
      </c>
    </row>
    <row r="22" spans="1:8" ht="15" customHeight="1" x14ac:dyDescent="0.35">
      <c r="A22" s="23" t="s">
        <v>77</v>
      </c>
      <c r="B22" s="23">
        <v>0</v>
      </c>
      <c r="C22" s="24">
        <f>C19*C20*C21</f>
        <v>63750</v>
      </c>
      <c r="D22" s="24">
        <f>D19*D20*D21</f>
        <v>576000</v>
      </c>
      <c r="E22" s="24">
        <f>E19*E20*E21</f>
        <v>2375000</v>
      </c>
      <c r="F22" s="24">
        <f>F19*F20*F21</f>
        <v>5500000</v>
      </c>
      <c r="G22" s="24">
        <f>G19*G20*G21</f>
        <v>11550000</v>
      </c>
    </row>
    <row r="24" spans="1:8" ht="15" customHeight="1" x14ac:dyDescent="0.35">
      <c r="A24" s="3" t="s">
        <v>78</v>
      </c>
      <c r="B24" s="4"/>
      <c r="C24" s="4"/>
      <c r="D24" s="4"/>
      <c r="E24" s="4"/>
      <c r="F24" s="4"/>
      <c r="G24" s="4"/>
      <c r="H24" s="4"/>
    </row>
    <row r="25" spans="1:8" ht="15" customHeight="1" x14ac:dyDescent="0.35">
      <c r="A25" s="9" t="s">
        <v>79</v>
      </c>
      <c r="B25" s="6">
        <v>0</v>
      </c>
      <c r="C25" s="26">
        <f>Assumptions!C24*Assumptions!C25</f>
        <v>5000</v>
      </c>
      <c r="D25" s="26">
        <f>Assumptions!D24*Assumptions!D25</f>
        <v>30000</v>
      </c>
      <c r="E25" s="26">
        <f>Assumptions!E24*Assumptions!E25</f>
        <v>126000</v>
      </c>
      <c r="F25" s="26">
        <f>Assumptions!F24*Assumptions!F25</f>
        <v>300000</v>
      </c>
      <c r="G25" s="26">
        <f>Assumptions!G24*Assumptions!G25</f>
        <v>640000</v>
      </c>
    </row>
    <row r="26" spans="1:8" ht="15" customHeight="1" x14ac:dyDescent="0.35">
      <c r="A26" s="9" t="s">
        <v>80</v>
      </c>
      <c r="B26" s="6">
        <v>0</v>
      </c>
      <c r="C26" s="26">
        <f>Assumptions!C26*Assumptions!C27</f>
        <v>8000</v>
      </c>
      <c r="D26" s="26">
        <f>Assumptions!D26*Assumptions!D27</f>
        <v>54000</v>
      </c>
      <c r="E26" s="26">
        <f>Assumptions!E26*Assumptions!E27</f>
        <v>200000</v>
      </c>
      <c r="F26" s="26">
        <f>Assumptions!F26*Assumptions!F27</f>
        <v>450000</v>
      </c>
      <c r="G26" s="26">
        <f>Assumptions!G26*Assumptions!G27</f>
        <v>900000</v>
      </c>
    </row>
    <row r="27" spans="1:8" ht="15" customHeight="1" x14ac:dyDescent="0.35">
      <c r="A27" s="9" t="s">
        <v>81</v>
      </c>
      <c r="B27" s="6">
        <v>0</v>
      </c>
      <c r="C27" s="26">
        <f>Assumptions!C28*Assumptions!C29</f>
        <v>3200</v>
      </c>
      <c r="D27" s="26">
        <f>Assumptions!D28*Assumptions!D29</f>
        <v>22500</v>
      </c>
      <c r="E27" s="26">
        <f>Assumptions!E28*Assumptions!E29</f>
        <v>90000</v>
      </c>
      <c r="F27" s="26">
        <f>Assumptions!F28*Assumptions!F29</f>
        <v>227500</v>
      </c>
      <c r="G27" s="26">
        <f>Assumptions!G28*Assumptions!G29</f>
        <v>490000</v>
      </c>
    </row>
    <row r="28" spans="1:8" ht="15" customHeight="1" x14ac:dyDescent="0.35">
      <c r="A28" s="23" t="s">
        <v>82</v>
      </c>
      <c r="B28" s="23">
        <v>0</v>
      </c>
      <c r="C28" s="24">
        <f>SUM(C25:C27)</f>
        <v>16200</v>
      </c>
      <c r="D28" s="24">
        <f>SUM(D25:D27)</f>
        <v>106500</v>
      </c>
      <c r="E28" s="24">
        <f>SUM(E25:E27)</f>
        <v>416000</v>
      </c>
      <c r="F28" s="24">
        <f>SUM(F25:F27)</f>
        <v>977500</v>
      </c>
      <c r="G28" s="24">
        <f>SUM(G25:G27)</f>
        <v>2030000</v>
      </c>
    </row>
    <row r="30" spans="1:8" ht="15" customHeight="1" x14ac:dyDescent="0.35">
      <c r="A30" s="3" t="s">
        <v>83</v>
      </c>
      <c r="B30" s="4"/>
      <c r="C30" s="4"/>
      <c r="D30" s="4"/>
      <c r="E30" s="4"/>
      <c r="F30" s="4"/>
      <c r="G30" s="4"/>
      <c r="H30" s="4"/>
    </row>
    <row r="31" spans="1:8" ht="15" customHeight="1" x14ac:dyDescent="0.35">
      <c r="A31" s="20" t="s">
        <v>64</v>
      </c>
      <c r="B31" s="21">
        <f>Assumptions!B30</f>
        <v>0</v>
      </c>
      <c r="C31" s="21">
        <f>Assumptions!C30</f>
        <v>10</v>
      </c>
      <c r="D31" s="21">
        <f>Assumptions!D30</f>
        <v>40</v>
      </c>
      <c r="E31" s="21">
        <f>Assumptions!E30</f>
        <v>100</v>
      </c>
      <c r="F31" s="21">
        <f>Assumptions!F30</f>
        <v>200</v>
      </c>
      <c r="G31" s="21">
        <f>Assumptions!G30</f>
        <v>350</v>
      </c>
    </row>
    <row r="32" spans="1:8" ht="15" customHeight="1" x14ac:dyDescent="0.35">
      <c r="A32" s="20" t="s">
        <v>84</v>
      </c>
      <c r="C32" s="22">
        <f>Assumptions!C31</f>
        <v>250</v>
      </c>
      <c r="D32" s="22">
        <f>Assumptions!D31</f>
        <v>300</v>
      </c>
      <c r="E32" s="22">
        <f>Assumptions!E31</f>
        <v>350</v>
      </c>
      <c r="F32" s="22">
        <f>Assumptions!F31</f>
        <v>400</v>
      </c>
      <c r="G32" s="22">
        <f>Assumptions!G31</f>
        <v>450</v>
      </c>
    </row>
    <row r="33" spans="1:8" ht="15" customHeight="1" x14ac:dyDescent="0.35">
      <c r="A33" s="23" t="s">
        <v>85</v>
      </c>
      <c r="B33" s="23">
        <v>0</v>
      </c>
      <c r="C33" s="24">
        <f>C31*C32*12</f>
        <v>30000</v>
      </c>
      <c r="D33" s="24">
        <f>D31*D32*12</f>
        <v>144000</v>
      </c>
      <c r="E33" s="24">
        <f>E31*E32*12</f>
        <v>420000</v>
      </c>
      <c r="F33" s="24">
        <f>F31*F32*12</f>
        <v>960000</v>
      </c>
      <c r="G33" s="24">
        <f>G31*G32*12</f>
        <v>1890000</v>
      </c>
    </row>
    <row r="35" spans="1:8" ht="15" customHeight="1" x14ac:dyDescent="0.35">
      <c r="A35" s="3" t="s">
        <v>86</v>
      </c>
      <c r="B35" s="4"/>
      <c r="C35" s="4"/>
      <c r="D35" s="4"/>
      <c r="E35" s="4"/>
      <c r="F35" s="4"/>
      <c r="G35" s="4"/>
      <c r="H35" s="4"/>
    </row>
    <row r="36" spans="1:8" ht="15" customHeight="1" x14ac:dyDescent="0.35">
      <c r="A36" s="20" t="s">
        <v>87</v>
      </c>
      <c r="B36" s="21">
        <f>Assumptions!B33</f>
        <v>0</v>
      </c>
      <c r="C36" s="21">
        <f>Assumptions!C33</f>
        <v>3</v>
      </c>
      <c r="D36" s="21">
        <f>Assumptions!D33</f>
        <v>12</v>
      </c>
      <c r="E36" s="21">
        <f>Assumptions!E33</f>
        <v>30</v>
      </c>
      <c r="F36" s="21">
        <f>Assumptions!F33</f>
        <v>55</v>
      </c>
      <c r="G36" s="21">
        <f>Assumptions!G33</f>
        <v>90</v>
      </c>
    </row>
    <row r="37" spans="1:8" ht="15" customHeight="1" x14ac:dyDescent="0.35">
      <c r="A37" s="20" t="s">
        <v>88</v>
      </c>
      <c r="C37" s="22">
        <f>Assumptions!C34</f>
        <v>1500</v>
      </c>
      <c r="D37" s="22">
        <f>Assumptions!D34</f>
        <v>2000</v>
      </c>
      <c r="E37" s="22">
        <f>Assumptions!E34</f>
        <v>2500</v>
      </c>
      <c r="F37" s="22">
        <f>Assumptions!F34</f>
        <v>3000</v>
      </c>
      <c r="G37" s="22">
        <f>Assumptions!G34</f>
        <v>3500</v>
      </c>
    </row>
    <row r="38" spans="1:8" ht="15" customHeight="1" x14ac:dyDescent="0.35">
      <c r="A38" s="23" t="s">
        <v>89</v>
      </c>
      <c r="B38" s="23">
        <v>0</v>
      </c>
      <c r="C38" s="24">
        <f>C36*C37*12</f>
        <v>54000</v>
      </c>
      <c r="D38" s="24">
        <f>D36*D37*12</f>
        <v>288000</v>
      </c>
      <c r="E38" s="24">
        <f>E36*E37*12</f>
        <v>900000</v>
      </c>
      <c r="F38" s="24">
        <f>F36*F37*12</f>
        <v>1980000</v>
      </c>
      <c r="G38" s="24">
        <f>G36*G37*12</f>
        <v>3780000</v>
      </c>
    </row>
    <row r="40" spans="1:8" ht="15" customHeight="1" x14ac:dyDescent="0.35">
      <c r="A40" s="3" t="s">
        <v>90</v>
      </c>
      <c r="B40" s="4"/>
      <c r="C40" s="4"/>
      <c r="D40" s="4"/>
      <c r="E40" s="4"/>
      <c r="F40" s="4"/>
      <c r="G40" s="4"/>
      <c r="H40" s="4"/>
    </row>
    <row r="41" spans="1:8" ht="15" customHeight="1" x14ac:dyDescent="0.35">
      <c r="A41" s="27" t="s">
        <v>90</v>
      </c>
      <c r="B41" s="28">
        <v>0</v>
      </c>
      <c r="C41" s="29">
        <f>C6+C11+C16+C22+C28+C33+C38</f>
        <v>308350</v>
      </c>
      <c r="D41" s="29">
        <f>D6+D11+D16+D22+D28+D33+D38</f>
        <v>1762500</v>
      </c>
      <c r="E41" s="29">
        <f>E6+E11+E16+E22+E28+E33+E38</f>
        <v>5991600</v>
      </c>
      <c r="F41" s="29">
        <f>F6+F11+F16+F22+F28+F33+F38</f>
        <v>13197500</v>
      </c>
      <c r="G41" s="29">
        <f>G6+G11+G16+G22+G28+G33+G38</f>
        <v>26095000</v>
      </c>
    </row>
    <row r="43" spans="1:8" ht="15" customHeight="1" x14ac:dyDescent="0.35">
      <c r="A43" s="30" t="s">
        <v>91</v>
      </c>
    </row>
    <row r="44" spans="1:8" ht="15" customHeight="1" x14ac:dyDescent="0.35">
      <c r="A44" s="9" t="s">
        <v>92</v>
      </c>
      <c r="C44" s="31">
        <f>IF(C41=0,0,C6/C41)</f>
        <v>0.28020107021242097</v>
      </c>
      <c r="D44" s="31">
        <f>IF(D41=0,0,D6/D41)</f>
        <v>0.22468085106382979</v>
      </c>
      <c r="E44" s="31">
        <f>IF(E41=0,0,E6/E41)</f>
        <v>0.19787702783897457</v>
      </c>
      <c r="F44" s="31">
        <f>IF(F41=0,0,F6/F41)</f>
        <v>0.17730630801288122</v>
      </c>
      <c r="G44" s="31">
        <f>IF(G41=0,0,G6/G41)</f>
        <v>0.15635179153094461</v>
      </c>
    </row>
    <row r="45" spans="1:8" ht="15" customHeight="1" x14ac:dyDescent="0.35">
      <c r="A45" s="9" t="s">
        <v>93</v>
      </c>
      <c r="C45" s="31">
        <f>IF(C41=0,0,C11/C41)</f>
        <v>0.1362088535754824</v>
      </c>
      <c r="D45" s="31">
        <f>IF(D41=0,0,D11/D41)</f>
        <v>0.10212765957446808</v>
      </c>
      <c r="E45" s="31">
        <f>IF(E41=0,0,E11/E41)</f>
        <v>8.2615661926697379E-2</v>
      </c>
      <c r="F45" s="31">
        <f>IF(F41=0,0,F11/F41)</f>
        <v>7.5771926501231296E-2</v>
      </c>
      <c r="G45" s="31">
        <f>IF(G41=0,0,G11/G41)</f>
        <v>7.3768921249281472E-2</v>
      </c>
    </row>
    <row r="46" spans="1:8" ht="15" customHeight="1" x14ac:dyDescent="0.35">
      <c r="A46" s="9" t="s">
        <v>94</v>
      </c>
      <c r="C46" s="31">
        <f>IF(C41=0,0,C16/C41)</f>
        <v>5.1889087076374248E-2</v>
      </c>
      <c r="D46" s="31">
        <f>IF(D41=0,0,D16/D41)</f>
        <v>4.0851063829787232E-2</v>
      </c>
      <c r="E46" s="31">
        <f>IF(E41=0,0,E16/E41)</f>
        <v>3.3380065424928232E-2</v>
      </c>
      <c r="F46" s="31">
        <f>IF(F41=0,0,F16/F41)</f>
        <v>3.3339647660541767E-2</v>
      </c>
      <c r="G46" s="31">
        <f>IF(G41=0,0,G16/G41)</f>
        <v>3.2190074726959186E-2</v>
      </c>
    </row>
    <row r="47" spans="1:8" ht="15" customHeight="1" x14ac:dyDescent="0.35">
      <c r="A47" s="9" t="s">
        <v>95</v>
      </c>
      <c r="C47" s="31">
        <f>IF(C41=0,0,C22/C41)</f>
        <v>0.20674558131992865</v>
      </c>
      <c r="D47" s="31">
        <f>IF(D41=0,0,D22/D41)</f>
        <v>0.32680851063829786</v>
      </c>
      <c r="E47" s="31">
        <f>IF(E41=0,0,E22/E41)</f>
        <v>0.39638827692102274</v>
      </c>
      <c r="F47" s="31">
        <f>IF(F41=0,0,F22/F41)</f>
        <v>0.41674559575677211</v>
      </c>
      <c r="G47" s="31">
        <f>IF(G41=0,0,G22/G41)</f>
        <v>0.44261352749568883</v>
      </c>
    </row>
    <row r="48" spans="1:8" ht="15" customHeight="1" x14ac:dyDescent="0.35">
      <c r="A48" s="9" t="s">
        <v>96</v>
      </c>
      <c r="C48" s="31">
        <f>IF(C41=0,0,C28/C41)</f>
        <v>5.2537700664828928E-2</v>
      </c>
      <c r="D48" s="31">
        <f>IF(D41=0,0,D28/D41)</f>
        <v>6.0425531914893617E-2</v>
      </c>
      <c r="E48" s="31">
        <f>IF(E41=0,0,E28/E41)</f>
        <v>6.9430536083850719E-2</v>
      </c>
      <c r="F48" s="31">
        <f>IF(F41=0,0,F28/F41)</f>
        <v>7.4067058154953583E-2</v>
      </c>
      <c r="G48" s="31">
        <f>IF(G41=0,0,G28/G41)</f>
        <v>7.7792680590151375E-2</v>
      </c>
    </row>
    <row r="49" spans="1:7" ht="15" customHeight="1" x14ac:dyDescent="0.35">
      <c r="A49" s="9" t="s">
        <v>97</v>
      </c>
      <c r="C49" s="31">
        <f>IF(C41=0,0,C33/C41)</f>
        <v>9.7292038268201722E-2</v>
      </c>
      <c r="D49" s="31">
        <f>IF(D41=0,0,D33/D41)</f>
        <v>8.1702127659574464E-2</v>
      </c>
      <c r="E49" s="31">
        <f>IF(E41=0,0,E33/E41)</f>
        <v>7.0098137392349283E-2</v>
      </c>
      <c r="F49" s="31">
        <f>IF(F41=0,0,F33/F41)</f>
        <v>7.2741049441182037E-2</v>
      </c>
      <c r="G49" s="31">
        <f>IF(G41=0,0,G33/G41)</f>
        <v>7.2427668135658166E-2</v>
      </c>
    </row>
    <row r="50" spans="1:7" ht="15" customHeight="1" x14ac:dyDescent="0.35">
      <c r="A50" s="9" t="s">
        <v>98</v>
      </c>
      <c r="C50" s="31">
        <f>IF(C41=0,0,C38/C41)</f>
        <v>0.1751256688827631</v>
      </c>
      <c r="D50" s="31">
        <f>IF(D41=0,0,D38/D41)</f>
        <v>0.16340425531914893</v>
      </c>
      <c r="E50" s="31">
        <f>IF(E41=0,0,E38/E41)</f>
        <v>0.15021029441217704</v>
      </c>
      <c r="F50" s="31">
        <f>IF(F41=0,0,F38/F41)</f>
        <v>0.15002841447243795</v>
      </c>
      <c r="G50" s="31">
        <f>IF(G41=0,0,G38/G41)</f>
        <v>0.14485533627131633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8000"/>
  </sheetPr>
  <dimension ref="A1:H34"/>
  <sheetViews>
    <sheetView topLeftCell="A22" zoomScaleNormal="100" workbookViewId="0"/>
  </sheetViews>
  <sheetFormatPr defaultColWidth="8.6328125" defaultRowHeight="14.5" x14ac:dyDescent="0.35"/>
  <cols>
    <col min="1" max="1" width="42" customWidth="1"/>
    <col min="2" max="8" width="17" customWidth="1"/>
  </cols>
  <sheetData>
    <row r="1" spans="1:8" ht="17.25" customHeight="1" x14ac:dyDescent="0.4">
      <c r="A1" s="1" t="s">
        <v>99</v>
      </c>
    </row>
    <row r="2" spans="1:8" ht="15" customHeight="1" x14ac:dyDescent="0.35">
      <c r="A2" s="2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spans="1:8" ht="15" customHeight="1" x14ac:dyDescent="0.35">
      <c r="A3" s="3" t="s">
        <v>100</v>
      </c>
      <c r="B3" s="4"/>
      <c r="C3" s="4"/>
      <c r="D3" s="4"/>
      <c r="E3" s="4"/>
      <c r="F3" s="4"/>
      <c r="G3" s="4"/>
      <c r="H3" s="4"/>
    </row>
    <row r="4" spans="1:8" ht="15" customHeight="1" x14ac:dyDescent="0.35">
      <c r="A4" s="32" t="s">
        <v>101</v>
      </c>
      <c r="B4" s="33">
        <f>'Revenue Detail'!B41</f>
        <v>0</v>
      </c>
      <c r="C4" s="33">
        <f>'Revenue Detail'!C41</f>
        <v>308350</v>
      </c>
      <c r="D4" s="33">
        <f>'Revenue Detail'!D41</f>
        <v>1762500</v>
      </c>
      <c r="E4" s="33">
        <f>'Revenue Detail'!E41</f>
        <v>5991600</v>
      </c>
      <c r="F4" s="33">
        <f>'Revenue Detail'!F41</f>
        <v>13197500</v>
      </c>
      <c r="G4" s="33">
        <f>'Revenue Detail'!G41</f>
        <v>26095000</v>
      </c>
    </row>
    <row r="6" spans="1:8" ht="15" customHeight="1" x14ac:dyDescent="0.35">
      <c r="A6" s="3" t="s">
        <v>102</v>
      </c>
      <c r="B6" s="4"/>
      <c r="C6" s="4"/>
      <c r="D6" s="4"/>
      <c r="E6" s="4"/>
      <c r="F6" s="4"/>
      <c r="G6" s="4"/>
      <c r="H6" s="4"/>
    </row>
    <row r="7" spans="1:8" ht="15" customHeight="1" x14ac:dyDescent="0.35">
      <c r="A7" s="9" t="s">
        <v>103</v>
      </c>
      <c r="B7" s="6">
        <v>0</v>
      </c>
      <c r="C7" s="26">
        <f>C4*0.025</f>
        <v>7708.75</v>
      </c>
      <c r="D7" s="26">
        <f>D4*0.025</f>
        <v>44062.5</v>
      </c>
      <c r="E7" s="26">
        <f>E4*0.025</f>
        <v>149790</v>
      </c>
      <c r="F7" s="26">
        <f>F4*0.025</f>
        <v>329937.5</v>
      </c>
      <c r="G7" s="26">
        <f>G4*0.025</f>
        <v>652375</v>
      </c>
    </row>
    <row r="8" spans="1:8" ht="15" customHeight="1" x14ac:dyDescent="0.35">
      <c r="A8" s="9" t="s">
        <v>104</v>
      </c>
      <c r="B8" s="22">
        <f>Assumptions!B39*12</f>
        <v>6000</v>
      </c>
      <c r="C8" s="22">
        <f>Assumptions!C39*12</f>
        <v>24000</v>
      </c>
      <c r="D8" s="22">
        <f>Assumptions!D39*12</f>
        <v>54000</v>
      </c>
      <c r="E8" s="22">
        <f>Assumptions!E39*12</f>
        <v>96000</v>
      </c>
      <c r="F8" s="22">
        <f>Assumptions!F39*12</f>
        <v>168000</v>
      </c>
      <c r="G8" s="22">
        <f>Assumptions!G39*12</f>
        <v>264000</v>
      </c>
    </row>
    <row r="9" spans="1:8" ht="15" customHeight="1" x14ac:dyDescent="0.35">
      <c r="A9" s="9" t="s">
        <v>105</v>
      </c>
      <c r="B9" s="13">
        <v>0</v>
      </c>
      <c r="C9" s="13">
        <v>12000</v>
      </c>
      <c r="D9" s="13">
        <v>24000</v>
      </c>
      <c r="E9" s="13">
        <v>36000</v>
      </c>
      <c r="F9" s="13">
        <v>48000</v>
      </c>
      <c r="G9" s="13">
        <v>60000</v>
      </c>
    </row>
    <row r="10" spans="1:8" ht="15" customHeight="1" x14ac:dyDescent="0.35">
      <c r="A10" s="9" t="s">
        <v>106</v>
      </c>
      <c r="B10" s="13">
        <v>0</v>
      </c>
      <c r="C10" s="13">
        <v>24000</v>
      </c>
      <c r="D10" s="13">
        <v>48000</v>
      </c>
      <c r="E10" s="13">
        <v>84000</v>
      </c>
      <c r="F10" s="13">
        <v>144000</v>
      </c>
      <c r="G10" s="13">
        <v>240000</v>
      </c>
    </row>
    <row r="11" spans="1:8" ht="15" customHeight="1" x14ac:dyDescent="0.35">
      <c r="A11" s="23" t="s">
        <v>107</v>
      </c>
      <c r="B11" s="24">
        <f t="shared" ref="B11:G11" si="0">SUM(B7:B10)</f>
        <v>6000</v>
      </c>
      <c r="C11" s="24">
        <f t="shared" si="0"/>
        <v>67708.75</v>
      </c>
      <c r="D11" s="24">
        <f t="shared" si="0"/>
        <v>170062.5</v>
      </c>
      <c r="E11" s="24">
        <f t="shared" si="0"/>
        <v>365790</v>
      </c>
      <c r="F11" s="24">
        <f t="shared" si="0"/>
        <v>689937.5</v>
      </c>
      <c r="G11" s="24">
        <f t="shared" si="0"/>
        <v>1216375</v>
      </c>
    </row>
    <row r="12" spans="1:8" ht="15" customHeight="1" x14ac:dyDescent="0.35">
      <c r="A12" s="17" t="s">
        <v>108</v>
      </c>
      <c r="B12" s="34">
        <f t="shared" ref="B12:G12" si="1">B4-B11</f>
        <v>-6000</v>
      </c>
      <c r="C12" s="34">
        <f t="shared" si="1"/>
        <v>240641.25</v>
      </c>
      <c r="D12" s="34">
        <f t="shared" si="1"/>
        <v>1592437.5</v>
      </c>
      <c r="E12" s="34">
        <f t="shared" si="1"/>
        <v>5625810</v>
      </c>
      <c r="F12" s="34">
        <f t="shared" si="1"/>
        <v>12507562.5</v>
      </c>
      <c r="G12" s="34">
        <f t="shared" si="1"/>
        <v>24878625</v>
      </c>
    </row>
    <row r="13" spans="1:8" ht="15" customHeight="1" x14ac:dyDescent="0.35">
      <c r="A13" s="9" t="s">
        <v>109</v>
      </c>
      <c r="C13" s="31">
        <f>IF(C4=0,0,C12/C4)</f>
        <v>0.78041592346359656</v>
      </c>
      <c r="D13" s="31">
        <f>IF(D4=0,0,D12/D4)</f>
        <v>0.90351063829787237</v>
      </c>
      <c r="E13" s="31">
        <f>IF(E4=0,0,E12/E4)</f>
        <v>0.93894952934107756</v>
      </c>
      <c r="F13" s="31">
        <f>IF(F4=0,0,F12/F4)</f>
        <v>0.94772210645955668</v>
      </c>
      <c r="G13" s="31">
        <f>IF(G4=0,0,G12/G4)</f>
        <v>0.95338666411189887</v>
      </c>
    </row>
    <row r="15" spans="1:8" ht="15" customHeight="1" x14ac:dyDescent="0.35">
      <c r="A15" s="3" t="s">
        <v>110</v>
      </c>
      <c r="B15" s="4"/>
      <c r="C15" s="4"/>
      <c r="D15" s="4"/>
      <c r="E15" s="4"/>
      <c r="F15" s="4"/>
      <c r="G15" s="4"/>
      <c r="H15" s="4"/>
    </row>
    <row r="16" spans="1:8" ht="15" customHeight="1" x14ac:dyDescent="0.35">
      <c r="A16" s="9" t="s">
        <v>111</v>
      </c>
      <c r="B16" s="22">
        <f>Assumptions!B37*Assumptions!B38</f>
        <v>0</v>
      </c>
      <c r="C16" s="22">
        <f>Assumptions!C37*Assumptions!C38</f>
        <v>480000</v>
      </c>
      <c r="D16" s="22">
        <f>Assumptions!D37*Assumptions!D38</f>
        <v>910000</v>
      </c>
      <c r="E16" s="22">
        <f>Assumptions!E37*Assumptions!E38</f>
        <v>1540000</v>
      </c>
      <c r="F16" s="22">
        <f>Assumptions!F37*Assumptions!F38</f>
        <v>2400000</v>
      </c>
      <c r="G16" s="22">
        <f>Assumptions!G37*Assumptions!G38</f>
        <v>3600000</v>
      </c>
    </row>
    <row r="17" spans="1:7" ht="15" customHeight="1" x14ac:dyDescent="0.35">
      <c r="A17" s="9" t="s">
        <v>112</v>
      </c>
      <c r="B17" s="13">
        <v>30000</v>
      </c>
      <c r="C17" s="26">
        <f>MAX(C4*Assumptions!C40,60000)</f>
        <v>169592.5</v>
      </c>
      <c r="D17" s="26">
        <f>MAX(D4*Assumptions!D40,60000)</f>
        <v>705000</v>
      </c>
      <c r="E17" s="26">
        <f>MAX(E4*Assumptions!E40,60000)</f>
        <v>1797480</v>
      </c>
      <c r="F17" s="26">
        <f>MAX(F4*Assumptions!F40,60000)</f>
        <v>2903450</v>
      </c>
      <c r="G17" s="26">
        <f>MAX(G4*Assumptions!G40,60000)</f>
        <v>4697100</v>
      </c>
    </row>
    <row r="18" spans="1:7" ht="15" customHeight="1" x14ac:dyDescent="0.35">
      <c r="A18" s="9" t="s">
        <v>113</v>
      </c>
      <c r="B18" s="13">
        <v>6000</v>
      </c>
      <c r="C18" s="13">
        <v>24000</v>
      </c>
      <c r="D18" s="13">
        <v>36000</v>
      </c>
      <c r="E18" s="13">
        <v>60000</v>
      </c>
      <c r="F18" s="13">
        <v>96000</v>
      </c>
      <c r="G18" s="13">
        <v>144000</v>
      </c>
    </row>
    <row r="19" spans="1:7" ht="15" customHeight="1" x14ac:dyDescent="0.35">
      <c r="A19" s="9" t="s">
        <v>114</v>
      </c>
      <c r="B19" s="13">
        <v>15000</v>
      </c>
      <c r="C19" s="13">
        <v>30000</v>
      </c>
      <c r="D19" s="13">
        <v>48000</v>
      </c>
      <c r="E19" s="13">
        <v>72000</v>
      </c>
      <c r="F19" s="13">
        <v>96000</v>
      </c>
      <c r="G19" s="13">
        <v>120000</v>
      </c>
    </row>
    <row r="20" spans="1:7" ht="15" customHeight="1" x14ac:dyDescent="0.35">
      <c r="A20" s="9" t="s">
        <v>115</v>
      </c>
      <c r="B20" s="13">
        <v>3000</v>
      </c>
      <c r="C20" s="13">
        <v>18000</v>
      </c>
      <c r="D20" s="13">
        <v>30000</v>
      </c>
      <c r="E20" s="13">
        <v>48000</v>
      </c>
      <c r="F20" s="13">
        <v>72000</v>
      </c>
      <c r="G20" s="13">
        <v>96000</v>
      </c>
    </row>
    <row r="21" spans="1:7" ht="15" customHeight="1" x14ac:dyDescent="0.35">
      <c r="A21" s="9" t="s">
        <v>116</v>
      </c>
      <c r="B21" s="13">
        <v>5000</v>
      </c>
      <c r="C21" s="13">
        <v>30000</v>
      </c>
      <c r="D21" s="13">
        <v>48000</v>
      </c>
      <c r="E21" s="13">
        <v>72000</v>
      </c>
      <c r="F21" s="13">
        <v>96000</v>
      </c>
      <c r="G21" s="13">
        <v>120000</v>
      </c>
    </row>
    <row r="22" spans="1:7" ht="15" customHeight="1" x14ac:dyDescent="0.35">
      <c r="A22" s="9" t="s">
        <v>117</v>
      </c>
      <c r="B22" s="13">
        <v>0</v>
      </c>
      <c r="C22" s="13">
        <v>12000</v>
      </c>
      <c r="D22" s="13">
        <v>18000</v>
      </c>
      <c r="E22" s="13">
        <v>24000</v>
      </c>
      <c r="F22" s="13">
        <v>36000</v>
      </c>
      <c r="G22" s="13">
        <v>48000</v>
      </c>
    </row>
    <row r="23" spans="1:7" ht="15" customHeight="1" x14ac:dyDescent="0.35">
      <c r="A23" s="23" t="s">
        <v>118</v>
      </c>
      <c r="B23" s="24">
        <f t="shared" ref="B23:G23" si="2">SUM(B16:B22)</f>
        <v>59000</v>
      </c>
      <c r="C23" s="24">
        <f t="shared" si="2"/>
        <v>763592.5</v>
      </c>
      <c r="D23" s="24">
        <f t="shared" si="2"/>
        <v>1795000</v>
      </c>
      <c r="E23" s="24">
        <f t="shared" si="2"/>
        <v>3613480</v>
      </c>
      <c r="F23" s="24">
        <f t="shared" si="2"/>
        <v>5699450</v>
      </c>
      <c r="G23" s="24">
        <f t="shared" si="2"/>
        <v>8825100</v>
      </c>
    </row>
    <row r="25" spans="1:7" ht="15" customHeight="1" x14ac:dyDescent="0.35">
      <c r="A25" s="35" t="s">
        <v>119</v>
      </c>
      <c r="B25" s="36">
        <f t="shared" ref="B25:G25" si="3">B12-B23</f>
        <v>-65000</v>
      </c>
      <c r="C25" s="36">
        <f t="shared" si="3"/>
        <v>-522951.25</v>
      </c>
      <c r="D25" s="36">
        <f t="shared" si="3"/>
        <v>-202562.5</v>
      </c>
      <c r="E25" s="36">
        <f t="shared" si="3"/>
        <v>2012330</v>
      </c>
      <c r="F25" s="36">
        <f t="shared" si="3"/>
        <v>6808112.5</v>
      </c>
      <c r="G25" s="36">
        <f t="shared" si="3"/>
        <v>16053525</v>
      </c>
    </row>
    <row r="26" spans="1:7" ht="15" customHeight="1" x14ac:dyDescent="0.35">
      <c r="A26" s="9" t="s">
        <v>120</v>
      </c>
      <c r="C26" s="31">
        <f>IF(C4=0,0,C25/C4)</f>
        <v>-1.6959664342467975</v>
      </c>
      <c r="D26" s="31">
        <f>IF(D4=0,0,D25/D4)</f>
        <v>-0.11492907801418439</v>
      </c>
      <c r="E26" s="31">
        <f>IF(E4=0,0,E25/E4)</f>
        <v>0.33585853528272913</v>
      </c>
      <c r="F26" s="31">
        <f>IF(F4=0,0,F25/F4)</f>
        <v>0.51586379996211407</v>
      </c>
      <c r="G26" s="31">
        <f>IF(G4=0,0,G25/G4)</f>
        <v>0.61519543973941371</v>
      </c>
    </row>
    <row r="28" spans="1:7" ht="15" customHeight="1" x14ac:dyDescent="0.35">
      <c r="A28" s="9" t="s">
        <v>121</v>
      </c>
      <c r="B28" s="22">
        <f>Assumptions!B43*Assumptions!B42</f>
        <v>0</v>
      </c>
      <c r="C28" s="22">
        <f>Assumptions!C43*Assumptions!C42</f>
        <v>36000</v>
      </c>
      <c r="D28" s="22">
        <f>Assumptions!D43*Assumptions!D42</f>
        <v>50000</v>
      </c>
      <c r="E28" s="22">
        <f>Assumptions!E43*Assumptions!E42</f>
        <v>40000</v>
      </c>
      <c r="F28" s="22">
        <f>Assumptions!F43*Assumptions!F42</f>
        <v>60000</v>
      </c>
      <c r="G28" s="22">
        <f>Assumptions!G43*Assumptions!G42</f>
        <v>80000</v>
      </c>
    </row>
    <row r="29" spans="1:7" ht="15" customHeight="1" x14ac:dyDescent="0.35">
      <c r="A29" s="17" t="s">
        <v>122</v>
      </c>
      <c r="B29" s="34">
        <f t="shared" ref="B29:G29" si="4">B25-B28</f>
        <v>-65000</v>
      </c>
      <c r="C29" s="34">
        <f t="shared" si="4"/>
        <v>-558951.25</v>
      </c>
      <c r="D29" s="34">
        <f t="shared" si="4"/>
        <v>-252562.5</v>
      </c>
      <c r="E29" s="34">
        <f t="shared" si="4"/>
        <v>1972330</v>
      </c>
      <c r="F29" s="34">
        <f t="shared" si="4"/>
        <v>6748112.5</v>
      </c>
      <c r="G29" s="34">
        <f t="shared" si="4"/>
        <v>15973525</v>
      </c>
    </row>
    <row r="30" spans="1:7" ht="15" customHeight="1" x14ac:dyDescent="0.35">
      <c r="A30" s="9" t="s">
        <v>123</v>
      </c>
      <c r="B30" s="26">
        <v>0</v>
      </c>
      <c r="C30" s="26">
        <v>0</v>
      </c>
      <c r="D30" s="26">
        <v>0</v>
      </c>
      <c r="E30" s="26">
        <v>0</v>
      </c>
      <c r="F30" s="26">
        <v>0</v>
      </c>
      <c r="G30" s="26">
        <v>0</v>
      </c>
    </row>
    <row r="31" spans="1:7" ht="15" customHeight="1" x14ac:dyDescent="0.35">
      <c r="A31" s="17" t="s">
        <v>124</v>
      </c>
      <c r="B31" s="34">
        <f t="shared" ref="B31:G31" si="5">B29-B30</f>
        <v>-65000</v>
      </c>
      <c r="C31" s="34">
        <f t="shared" si="5"/>
        <v>-558951.25</v>
      </c>
      <c r="D31" s="34">
        <f t="shared" si="5"/>
        <v>-252562.5</v>
      </c>
      <c r="E31" s="34">
        <f t="shared" si="5"/>
        <v>1972330</v>
      </c>
      <c r="F31" s="34">
        <f t="shared" si="5"/>
        <v>6748112.5</v>
      </c>
      <c r="G31" s="34">
        <f t="shared" si="5"/>
        <v>15973525</v>
      </c>
    </row>
    <row r="32" spans="1:7" ht="15" customHeight="1" x14ac:dyDescent="0.35">
      <c r="A32" s="9" t="s">
        <v>125</v>
      </c>
      <c r="B32" s="6">
        <v>0</v>
      </c>
      <c r="C32" s="26">
        <f>IF(C31&gt;0,C31*Assumptions!C41,0)</f>
        <v>0</v>
      </c>
      <c r="D32" s="26">
        <f>IF(D31&gt;0,D31*Assumptions!D41,0)</f>
        <v>0</v>
      </c>
      <c r="E32" s="26">
        <f>IF(E31&gt;0,E31*Assumptions!E41,0)</f>
        <v>295849.5</v>
      </c>
      <c r="F32" s="26">
        <f>IF(F31&gt;0,F31*Assumptions!F41,0)</f>
        <v>1012216.875</v>
      </c>
      <c r="G32" s="26">
        <f>IF(G31&gt;0,G31*Assumptions!G41,0)</f>
        <v>2396028.75</v>
      </c>
    </row>
    <row r="33" spans="1:7" ht="15" customHeight="1" x14ac:dyDescent="0.35">
      <c r="A33" s="27" t="s">
        <v>126</v>
      </c>
      <c r="B33" s="29">
        <f t="shared" ref="B33:G33" si="6">B31-B32</f>
        <v>-65000</v>
      </c>
      <c r="C33" s="29">
        <f t="shared" si="6"/>
        <v>-558951.25</v>
      </c>
      <c r="D33" s="29">
        <f t="shared" si="6"/>
        <v>-252562.5</v>
      </c>
      <c r="E33" s="29">
        <f t="shared" si="6"/>
        <v>1676480.5</v>
      </c>
      <c r="F33" s="29">
        <f t="shared" si="6"/>
        <v>5735895.625</v>
      </c>
      <c r="G33" s="29">
        <f t="shared" si="6"/>
        <v>13577496.25</v>
      </c>
    </row>
    <row r="34" spans="1:7" ht="15" customHeight="1" x14ac:dyDescent="0.35">
      <c r="A34" s="9" t="s">
        <v>127</v>
      </c>
      <c r="C34" s="31">
        <f>IF(C4=0,0,C33/C4)</f>
        <v>-1.8127168801686395</v>
      </c>
      <c r="D34" s="31">
        <f>IF(D4=0,0,D33/D4)</f>
        <v>-0.14329787234042554</v>
      </c>
      <c r="E34" s="31">
        <f>IF(E4=0,0,E33/E4)</f>
        <v>0.27980514386808197</v>
      </c>
      <c r="F34" s="31">
        <f>IF(F4=0,0,F33/F4)</f>
        <v>0.43461986171623412</v>
      </c>
      <c r="G34" s="31">
        <f>IF(G4=0,0,G33/G4)</f>
        <v>0.52031026058631924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B0000"/>
  </sheetPr>
  <dimension ref="A1:H25"/>
  <sheetViews>
    <sheetView zoomScaleNormal="100" workbookViewId="0"/>
  </sheetViews>
  <sheetFormatPr defaultColWidth="8.6328125" defaultRowHeight="14.5" x14ac:dyDescent="0.35"/>
  <cols>
    <col min="1" max="1" width="42" customWidth="1"/>
    <col min="2" max="8" width="17" customWidth="1"/>
  </cols>
  <sheetData>
    <row r="1" spans="1:8" ht="17.25" customHeight="1" x14ac:dyDescent="0.4">
      <c r="A1" s="1" t="s">
        <v>128</v>
      </c>
    </row>
    <row r="2" spans="1:8" ht="15" customHeight="1" x14ac:dyDescent="0.35">
      <c r="A2" s="2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spans="1:8" ht="15" customHeight="1" x14ac:dyDescent="0.35">
      <c r="A3" s="3" t="s">
        <v>129</v>
      </c>
      <c r="B3" s="4"/>
      <c r="C3" s="4"/>
      <c r="D3" s="4"/>
      <c r="E3" s="4"/>
      <c r="F3" s="4"/>
      <c r="G3" s="4"/>
      <c r="H3" s="4"/>
    </row>
    <row r="4" spans="1:8" ht="15" customHeight="1" x14ac:dyDescent="0.35">
      <c r="A4" s="17" t="s">
        <v>130</v>
      </c>
      <c r="B4" s="13">
        <f>'Cash Flow'!B20</f>
        <v>475000</v>
      </c>
      <c r="C4" s="26">
        <f>'Cash Flow'!C20</f>
        <v>-265879.32291666663</v>
      </c>
      <c r="D4" s="26">
        <f>'Cash Flow'!D20</f>
        <v>-918005.9375</v>
      </c>
      <c r="E4" s="26">
        <f>'Cash Flow'!E20</f>
        <v>-31909.5</v>
      </c>
      <c r="F4" s="26">
        <f>'Cash Flow'!F20</f>
        <v>4368521.229166666</v>
      </c>
      <c r="G4" s="26">
        <f>'Cash Flow'!G20</f>
        <v>15632238.833333332</v>
      </c>
    </row>
    <row r="5" spans="1:8" ht="15" customHeight="1" x14ac:dyDescent="0.35">
      <c r="A5" s="9" t="s">
        <v>131</v>
      </c>
      <c r="B5" s="6">
        <v>0</v>
      </c>
      <c r="C5" s="26">
        <f>'Income Statement'!C4/12*2</f>
        <v>51391.666666666664</v>
      </c>
      <c r="D5" s="26">
        <f>'Income Statement'!D4/12*2</f>
        <v>293750</v>
      </c>
      <c r="E5" s="26">
        <f>'Income Statement'!E4/12*2</f>
        <v>998600</v>
      </c>
      <c r="F5" s="26">
        <f>'Income Statement'!F4/12*2</f>
        <v>2199583.3333333335</v>
      </c>
      <c r="G5" s="26">
        <f>'Income Statement'!G4/12*2</f>
        <v>4349166.666666667</v>
      </c>
    </row>
    <row r="6" spans="1:8" ht="15" customHeight="1" x14ac:dyDescent="0.35">
      <c r="A6" s="5" t="s">
        <v>132</v>
      </c>
      <c r="B6" s="13">
        <v>10000</v>
      </c>
      <c r="C6" s="13">
        <v>20000</v>
      </c>
      <c r="D6" s="13">
        <v>30000</v>
      </c>
      <c r="E6" s="13">
        <v>40000</v>
      </c>
      <c r="F6" s="13">
        <v>50000</v>
      </c>
      <c r="G6" s="13">
        <v>60000</v>
      </c>
      <c r="H6" s="5"/>
    </row>
    <row r="7" spans="1:8" ht="15" customHeight="1" x14ac:dyDescent="0.35">
      <c r="A7" s="23" t="s">
        <v>133</v>
      </c>
      <c r="B7" s="24">
        <f t="shared" ref="B7:G7" si="0">SUM(B4:B6)</f>
        <v>485000</v>
      </c>
      <c r="C7" s="24">
        <f t="shared" si="0"/>
        <v>-194487.65624999997</v>
      </c>
      <c r="D7" s="24">
        <f t="shared" si="0"/>
        <v>-594255.9375</v>
      </c>
      <c r="E7" s="24">
        <f t="shared" si="0"/>
        <v>1006690.5</v>
      </c>
      <c r="F7" s="24">
        <f t="shared" si="0"/>
        <v>6618104.5625</v>
      </c>
      <c r="G7" s="24">
        <f t="shared" si="0"/>
        <v>20041405.5</v>
      </c>
    </row>
    <row r="9" spans="1:8" ht="15" customHeight="1" x14ac:dyDescent="0.35">
      <c r="A9" s="9" t="s">
        <v>134</v>
      </c>
      <c r="B9" s="26">
        <f>Assumptions!B43</f>
        <v>350000</v>
      </c>
      <c r="C9" s="26">
        <f>B9+Assumptions!C43-'Income Statement'!C28</f>
        <v>494000</v>
      </c>
      <c r="D9" s="26">
        <f>C9+Assumptions!D43-'Income Statement'!D28</f>
        <v>694000</v>
      </c>
      <c r="E9" s="26">
        <f>D9+Assumptions!E43-'Income Statement'!E28</f>
        <v>854000</v>
      </c>
      <c r="F9" s="26">
        <f>E9+Assumptions!F43-'Income Statement'!F28</f>
        <v>1094000</v>
      </c>
      <c r="G9" s="26">
        <f>F9+Assumptions!G43-'Income Statement'!G28</f>
        <v>1414000</v>
      </c>
    </row>
    <row r="10" spans="1:8" ht="15" customHeight="1" x14ac:dyDescent="0.35">
      <c r="A10" s="27" t="s">
        <v>135</v>
      </c>
      <c r="B10" s="29">
        <f t="shared" ref="B10:G10" si="1">B7+B9</f>
        <v>835000</v>
      </c>
      <c r="C10" s="29">
        <f t="shared" si="1"/>
        <v>299512.34375</v>
      </c>
      <c r="D10" s="29">
        <f t="shared" si="1"/>
        <v>99744.0625</v>
      </c>
      <c r="E10" s="29">
        <f t="shared" si="1"/>
        <v>1860690.5</v>
      </c>
      <c r="F10" s="29">
        <f t="shared" si="1"/>
        <v>7712104.5625</v>
      </c>
      <c r="G10" s="29">
        <f t="shared" si="1"/>
        <v>21455405.5</v>
      </c>
    </row>
    <row r="12" spans="1:8" ht="15" customHeight="1" x14ac:dyDescent="0.35">
      <c r="A12" s="3" t="s">
        <v>136</v>
      </c>
      <c r="B12" s="4"/>
      <c r="C12" s="4"/>
      <c r="D12" s="4"/>
      <c r="E12" s="4"/>
      <c r="F12" s="4"/>
      <c r="G12" s="4"/>
      <c r="H12" s="4"/>
    </row>
    <row r="13" spans="1:8" ht="15" customHeight="1" x14ac:dyDescent="0.35">
      <c r="A13" s="9" t="s">
        <v>137</v>
      </c>
      <c r="B13" s="13">
        <v>15000</v>
      </c>
      <c r="C13" s="26">
        <f>'Income Statement'!C11/12*1.5</f>
        <v>8463.59375</v>
      </c>
      <c r="D13" s="26">
        <f>'Income Statement'!D11/12*1.5</f>
        <v>21257.8125</v>
      </c>
      <c r="E13" s="26">
        <f>'Income Statement'!E11/12*1.5</f>
        <v>45723.75</v>
      </c>
      <c r="F13" s="26">
        <f>'Income Statement'!F11/12*1.5</f>
        <v>86242.1875</v>
      </c>
      <c r="G13" s="26">
        <f>'Income Statement'!G11/12*1.5</f>
        <v>152046.875</v>
      </c>
    </row>
    <row r="14" spans="1:8" ht="15" customHeight="1" x14ac:dyDescent="0.35">
      <c r="A14" s="5" t="s">
        <v>138</v>
      </c>
      <c r="B14" s="13">
        <v>0</v>
      </c>
      <c r="C14" s="13">
        <v>15000</v>
      </c>
      <c r="D14" s="13">
        <v>40000</v>
      </c>
      <c r="E14" s="13">
        <v>80000</v>
      </c>
      <c r="F14" s="13">
        <v>130000</v>
      </c>
      <c r="G14" s="13">
        <v>200000</v>
      </c>
      <c r="H14" s="5"/>
    </row>
    <row r="15" spans="1:8" ht="15" customHeight="1" x14ac:dyDescent="0.35">
      <c r="A15" s="5" t="s">
        <v>139</v>
      </c>
      <c r="B15" s="13">
        <v>5000</v>
      </c>
      <c r="C15" s="13">
        <v>20000</v>
      </c>
      <c r="D15" s="13">
        <v>35000</v>
      </c>
      <c r="E15" s="13">
        <v>55000</v>
      </c>
      <c r="F15" s="13">
        <v>80000</v>
      </c>
      <c r="G15" s="13">
        <v>110000</v>
      </c>
      <c r="H15" s="5"/>
    </row>
    <row r="16" spans="1:8" ht="15" customHeight="1" x14ac:dyDescent="0.35">
      <c r="A16" s="23" t="s">
        <v>140</v>
      </c>
      <c r="B16" s="24">
        <f t="shared" ref="B16:G16" si="2">SUM(B13:B15)</f>
        <v>20000</v>
      </c>
      <c r="C16" s="24">
        <f t="shared" si="2"/>
        <v>43463.59375</v>
      </c>
      <c r="D16" s="24">
        <f t="shared" si="2"/>
        <v>96257.8125</v>
      </c>
      <c r="E16" s="24">
        <f t="shared" si="2"/>
        <v>180723.75</v>
      </c>
      <c r="F16" s="24">
        <f t="shared" si="2"/>
        <v>296242.1875</v>
      </c>
      <c r="G16" s="24">
        <f t="shared" si="2"/>
        <v>462046.875</v>
      </c>
    </row>
    <row r="18" spans="1:8" ht="15" customHeight="1" x14ac:dyDescent="0.35">
      <c r="A18" s="3" t="s">
        <v>141</v>
      </c>
      <c r="B18" s="4"/>
      <c r="C18" s="4"/>
      <c r="D18" s="4"/>
      <c r="E18" s="4"/>
      <c r="F18" s="4"/>
      <c r="G18" s="4"/>
      <c r="H18" s="4"/>
    </row>
    <row r="19" spans="1:8" ht="15" customHeight="1" x14ac:dyDescent="0.35">
      <c r="A19" s="9" t="s">
        <v>142</v>
      </c>
      <c r="B19" s="22">
        <f>Assumptions!$B$44</f>
        <v>920000</v>
      </c>
      <c r="C19" s="22">
        <f>Assumptions!$B$44</f>
        <v>920000</v>
      </c>
      <c r="D19" s="22">
        <f>Assumptions!$B$44</f>
        <v>920000</v>
      </c>
      <c r="E19" s="22">
        <f>Assumptions!$B$44</f>
        <v>920000</v>
      </c>
      <c r="F19" s="22">
        <f>Assumptions!$B$44</f>
        <v>920000</v>
      </c>
      <c r="G19" s="22">
        <f>Assumptions!$B$44</f>
        <v>920000</v>
      </c>
    </row>
    <row r="20" spans="1:8" ht="15" customHeight="1" x14ac:dyDescent="0.35">
      <c r="A20" s="9" t="s">
        <v>143</v>
      </c>
      <c r="B20" s="26">
        <v>0</v>
      </c>
      <c r="C20" s="26">
        <f>B20+'Income Statement'!C33</f>
        <v>-558951.25</v>
      </c>
      <c r="D20" s="26">
        <f>C20+'Income Statement'!D33</f>
        <v>-811513.75</v>
      </c>
      <c r="E20" s="26">
        <f>D20+'Income Statement'!E33</f>
        <v>864966.75</v>
      </c>
      <c r="F20" s="26">
        <f>E20+'Income Statement'!F33</f>
        <v>6600862.375</v>
      </c>
      <c r="G20" s="26">
        <f>F20+'Income Statement'!G33</f>
        <v>20178358.625</v>
      </c>
    </row>
    <row r="21" spans="1:8" ht="15" customHeight="1" x14ac:dyDescent="0.35">
      <c r="A21" s="23" t="s">
        <v>144</v>
      </c>
      <c r="B21" s="24">
        <f t="shared" ref="B21:G21" si="3">B19+B20</f>
        <v>920000</v>
      </c>
      <c r="C21" s="24">
        <f t="shared" si="3"/>
        <v>361048.75</v>
      </c>
      <c r="D21" s="24">
        <f t="shared" si="3"/>
        <v>108486.25</v>
      </c>
      <c r="E21" s="24">
        <f t="shared" si="3"/>
        <v>1784966.75</v>
      </c>
      <c r="F21" s="24">
        <f t="shared" si="3"/>
        <v>7520862.375</v>
      </c>
      <c r="G21" s="24">
        <f t="shared" si="3"/>
        <v>21098358.625</v>
      </c>
    </row>
    <row r="23" spans="1:8" ht="15" customHeight="1" x14ac:dyDescent="0.35">
      <c r="A23" s="27" t="s">
        <v>145</v>
      </c>
      <c r="B23" s="29">
        <f t="shared" ref="B23:G23" si="4">B16+B21</f>
        <v>940000</v>
      </c>
      <c r="C23" s="29">
        <f t="shared" si="4"/>
        <v>404512.34375</v>
      </c>
      <c r="D23" s="29">
        <f t="shared" si="4"/>
        <v>204744.0625</v>
      </c>
      <c r="E23" s="29">
        <f t="shared" si="4"/>
        <v>1965690.5</v>
      </c>
      <c r="F23" s="29">
        <f t="shared" si="4"/>
        <v>7817104.5625</v>
      </c>
      <c r="G23" s="29">
        <f t="shared" si="4"/>
        <v>21560405.5</v>
      </c>
    </row>
    <row r="25" spans="1:8" ht="15" customHeight="1" x14ac:dyDescent="0.35">
      <c r="A25" s="37" t="s">
        <v>146</v>
      </c>
      <c r="B25" s="38">
        <f t="shared" ref="B25:G25" si="5">B10-B23</f>
        <v>-105000</v>
      </c>
      <c r="C25" s="38">
        <f t="shared" si="5"/>
        <v>-105000</v>
      </c>
      <c r="D25" s="38">
        <f t="shared" si="5"/>
        <v>-105000</v>
      </c>
      <c r="E25" s="38">
        <f t="shared" si="5"/>
        <v>-105000</v>
      </c>
      <c r="F25" s="38">
        <f t="shared" si="5"/>
        <v>-105000</v>
      </c>
      <c r="G25" s="38">
        <f t="shared" si="5"/>
        <v>-105000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6400"/>
  </sheetPr>
  <dimension ref="A1:H20"/>
  <sheetViews>
    <sheetView zoomScaleNormal="100" workbookViewId="0"/>
  </sheetViews>
  <sheetFormatPr defaultColWidth="8.6328125" defaultRowHeight="14.5" x14ac:dyDescent="0.35"/>
  <cols>
    <col min="1" max="1" width="42" customWidth="1"/>
    <col min="2" max="8" width="17" customWidth="1"/>
  </cols>
  <sheetData>
    <row r="1" spans="1:8" ht="17.25" customHeight="1" x14ac:dyDescent="0.4">
      <c r="A1" s="1" t="s">
        <v>147</v>
      </c>
    </row>
    <row r="2" spans="1:8" ht="15" customHeight="1" x14ac:dyDescent="0.35">
      <c r="A2" s="2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spans="1:8" ht="15" customHeight="1" x14ac:dyDescent="0.35">
      <c r="A3" s="3" t="s">
        <v>148</v>
      </c>
      <c r="B3" s="4"/>
      <c r="C3" s="4"/>
      <c r="D3" s="4"/>
      <c r="E3" s="4"/>
      <c r="F3" s="4"/>
      <c r="G3" s="4"/>
      <c r="H3" s="4"/>
    </row>
    <row r="4" spans="1:8" ht="15" customHeight="1" x14ac:dyDescent="0.35">
      <c r="A4" s="20" t="s">
        <v>149</v>
      </c>
      <c r="B4" s="22">
        <f>'Income Statement'!B33</f>
        <v>-65000</v>
      </c>
      <c r="C4" s="22">
        <f>'Income Statement'!C33</f>
        <v>-558951.25</v>
      </c>
      <c r="D4" s="22">
        <f>'Income Statement'!D33</f>
        <v>-252562.5</v>
      </c>
      <c r="E4" s="22">
        <f>'Income Statement'!E33</f>
        <v>1676480.5</v>
      </c>
      <c r="F4" s="22">
        <f>'Income Statement'!F33</f>
        <v>5735895.625</v>
      </c>
      <c r="G4" s="22">
        <f>'Income Statement'!G33</f>
        <v>13577496.25</v>
      </c>
    </row>
    <row r="5" spans="1:8" ht="15" customHeight="1" x14ac:dyDescent="0.35">
      <c r="A5" s="20" t="s">
        <v>150</v>
      </c>
      <c r="B5" s="22">
        <f>'Income Statement'!B28</f>
        <v>0</v>
      </c>
      <c r="C5" s="22">
        <f>'Income Statement'!C28</f>
        <v>36000</v>
      </c>
      <c r="D5" s="22">
        <f>'Income Statement'!D28</f>
        <v>50000</v>
      </c>
      <c r="E5" s="22">
        <f>'Income Statement'!E28</f>
        <v>40000</v>
      </c>
      <c r="F5" s="22">
        <f>'Income Statement'!F28</f>
        <v>60000</v>
      </c>
      <c r="G5" s="22">
        <f>'Income Statement'!G28</f>
        <v>80000</v>
      </c>
    </row>
    <row r="6" spans="1:8" ht="15" customHeight="1" x14ac:dyDescent="0.35">
      <c r="A6" s="9" t="s">
        <v>151</v>
      </c>
      <c r="B6" s="13">
        <v>-30000</v>
      </c>
      <c r="C6" s="26">
        <f>-('Balance Sheet'!C5-'Balance Sheet'!B5)+('Balance Sheet'!C13-'Balance Sheet'!B13)+('Balance Sheet'!C14-'Balance Sheet'!B14)+('Balance Sheet'!C15-'Balance Sheet'!B15)-('Balance Sheet'!C6-'Balance Sheet'!B6)</f>
        <v>-37928.072916666664</v>
      </c>
      <c r="D6" s="26">
        <f>-('Balance Sheet'!D5-'Balance Sheet'!C5)+('Balance Sheet'!D13-'Balance Sheet'!C13)+('Balance Sheet'!D14-'Balance Sheet'!C14)+('Balance Sheet'!D15-'Balance Sheet'!C15)-('Balance Sheet'!D6-'Balance Sheet'!C6)</f>
        <v>-199564.11458333334</v>
      </c>
      <c r="E6" s="26">
        <f>-('Balance Sheet'!E5-'Balance Sheet'!D5)+('Balance Sheet'!E13-'Balance Sheet'!D13)+('Balance Sheet'!E14-'Balance Sheet'!D14)+('Balance Sheet'!E15-'Balance Sheet'!D15)-('Balance Sheet'!E6-'Balance Sheet'!D6)</f>
        <v>-630384.0625</v>
      </c>
      <c r="F6" s="26">
        <f>-('Balance Sheet'!F5-'Balance Sheet'!E5)+('Balance Sheet'!F13-'Balance Sheet'!E13)+('Balance Sheet'!F14-'Balance Sheet'!E14)+('Balance Sheet'!F15-'Balance Sheet'!E15)-('Balance Sheet'!F6-'Balance Sheet'!E6)</f>
        <v>-1095464.8958333335</v>
      </c>
      <c r="G6" s="26">
        <f>-('Balance Sheet'!G5-'Balance Sheet'!F5)+('Balance Sheet'!G13-'Balance Sheet'!F13)+('Balance Sheet'!G14-'Balance Sheet'!F14)+('Balance Sheet'!G15-'Balance Sheet'!F15)-('Balance Sheet'!G6-'Balance Sheet'!F6)</f>
        <v>-1993778.6458333335</v>
      </c>
    </row>
    <row r="7" spans="1:8" ht="15" customHeight="1" x14ac:dyDescent="0.35">
      <c r="A7" s="23" t="s">
        <v>152</v>
      </c>
      <c r="B7" s="24">
        <f t="shared" ref="B7:G7" si="0">SUM(B4:B6)</f>
        <v>-95000</v>
      </c>
      <c r="C7" s="24">
        <f t="shared" si="0"/>
        <v>-560879.32291666663</v>
      </c>
      <c r="D7" s="24">
        <f t="shared" si="0"/>
        <v>-402126.61458333337</v>
      </c>
      <c r="E7" s="24">
        <f t="shared" si="0"/>
        <v>1086096.4375</v>
      </c>
      <c r="F7" s="24">
        <f t="shared" si="0"/>
        <v>4700430.729166666</v>
      </c>
      <c r="G7" s="24">
        <f t="shared" si="0"/>
        <v>11663717.604166666</v>
      </c>
    </row>
    <row r="9" spans="1:8" ht="15" customHeight="1" x14ac:dyDescent="0.35">
      <c r="A9" s="3" t="s">
        <v>153</v>
      </c>
      <c r="B9" s="4"/>
      <c r="C9" s="4"/>
      <c r="D9" s="4"/>
      <c r="E9" s="4"/>
      <c r="F9" s="4"/>
      <c r="G9" s="4"/>
      <c r="H9" s="4"/>
    </row>
    <row r="10" spans="1:8" ht="15" customHeight="1" x14ac:dyDescent="0.35">
      <c r="A10" s="20" t="s">
        <v>154</v>
      </c>
      <c r="B10" s="22">
        <f>-Assumptions!B43</f>
        <v>-350000</v>
      </c>
      <c r="C10" s="22">
        <f>-Assumptions!C43</f>
        <v>-180000</v>
      </c>
      <c r="D10" s="22">
        <f>-Assumptions!D43</f>
        <v>-250000</v>
      </c>
      <c r="E10" s="22">
        <f>-Assumptions!E43</f>
        <v>-200000</v>
      </c>
      <c r="F10" s="22">
        <f>-Assumptions!F43</f>
        <v>-300000</v>
      </c>
      <c r="G10" s="22">
        <f>-Assumptions!G43</f>
        <v>-400000</v>
      </c>
    </row>
    <row r="11" spans="1:8" ht="15" customHeight="1" x14ac:dyDescent="0.35">
      <c r="A11" s="23" t="s">
        <v>155</v>
      </c>
      <c r="B11" s="24">
        <f t="shared" ref="B11:G11" si="1">B10</f>
        <v>-350000</v>
      </c>
      <c r="C11" s="24">
        <f t="shared" si="1"/>
        <v>-180000</v>
      </c>
      <c r="D11" s="24">
        <f t="shared" si="1"/>
        <v>-250000</v>
      </c>
      <c r="E11" s="24">
        <f t="shared" si="1"/>
        <v>-200000</v>
      </c>
      <c r="F11" s="24">
        <f t="shared" si="1"/>
        <v>-300000</v>
      </c>
      <c r="G11" s="24">
        <f t="shared" si="1"/>
        <v>-400000</v>
      </c>
    </row>
    <row r="13" spans="1:8" ht="15" customHeight="1" x14ac:dyDescent="0.35">
      <c r="A13" s="3" t="s">
        <v>156</v>
      </c>
      <c r="B13" s="4"/>
      <c r="C13" s="4"/>
      <c r="D13" s="4"/>
      <c r="E13" s="4"/>
      <c r="F13" s="4"/>
      <c r="G13" s="4"/>
      <c r="H13" s="4"/>
    </row>
    <row r="14" spans="1:8" ht="15" customHeight="1" x14ac:dyDescent="0.35">
      <c r="A14" s="9" t="s">
        <v>157</v>
      </c>
      <c r="B14" s="22">
        <f>Assumptions!B44</f>
        <v>920000</v>
      </c>
      <c r="C14" s="26">
        <v>0</v>
      </c>
      <c r="D14" s="26">
        <v>0</v>
      </c>
      <c r="E14" s="26">
        <v>0</v>
      </c>
      <c r="F14" s="26">
        <v>0</v>
      </c>
      <c r="G14" s="26">
        <v>0</v>
      </c>
    </row>
    <row r="15" spans="1:8" ht="15" customHeight="1" x14ac:dyDescent="0.35">
      <c r="A15" s="23" t="s">
        <v>158</v>
      </c>
      <c r="B15" s="24">
        <f t="shared" ref="B15:G15" si="2">B14</f>
        <v>920000</v>
      </c>
      <c r="C15" s="24">
        <f t="shared" si="2"/>
        <v>0</v>
      </c>
      <c r="D15" s="24">
        <f t="shared" si="2"/>
        <v>0</v>
      </c>
      <c r="E15" s="24">
        <f t="shared" si="2"/>
        <v>0</v>
      </c>
      <c r="F15" s="24">
        <f t="shared" si="2"/>
        <v>0</v>
      </c>
      <c r="G15" s="24">
        <f t="shared" si="2"/>
        <v>0</v>
      </c>
    </row>
    <row r="17" spans="1:7" ht="15" customHeight="1" x14ac:dyDescent="0.35">
      <c r="A17" s="27" t="s">
        <v>159</v>
      </c>
      <c r="B17" s="29">
        <f t="shared" ref="B17:G17" si="3">B7+B11+B15</f>
        <v>475000</v>
      </c>
      <c r="C17" s="29">
        <f t="shared" si="3"/>
        <v>-740879.32291666663</v>
      </c>
      <c r="D17" s="29">
        <f t="shared" si="3"/>
        <v>-652126.61458333337</v>
      </c>
      <c r="E17" s="29">
        <f t="shared" si="3"/>
        <v>886096.4375</v>
      </c>
      <c r="F17" s="29">
        <f t="shared" si="3"/>
        <v>4400430.729166666</v>
      </c>
      <c r="G17" s="29">
        <f t="shared" si="3"/>
        <v>11263717.604166666</v>
      </c>
    </row>
    <row r="19" spans="1:7" ht="15" customHeight="1" x14ac:dyDescent="0.35">
      <c r="A19" s="9" t="s">
        <v>160</v>
      </c>
      <c r="B19" s="26">
        <v>0</v>
      </c>
      <c r="C19" s="26">
        <f>B20</f>
        <v>475000</v>
      </c>
      <c r="D19" s="26">
        <f>C20</f>
        <v>-265879.32291666663</v>
      </c>
      <c r="E19" s="26">
        <f>D20</f>
        <v>-918005.9375</v>
      </c>
      <c r="F19" s="26">
        <f>E20</f>
        <v>-31909.5</v>
      </c>
      <c r="G19" s="26">
        <f>F20</f>
        <v>4368521.229166666</v>
      </c>
    </row>
    <row r="20" spans="1:7" ht="15" customHeight="1" x14ac:dyDescent="0.35">
      <c r="A20" s="28" t="s">
        <v>161</v>
      </c>
      <c r="B20" s="39">
        <f t="shared" ref="B20:G20" si="4">B19+B17</f>
        <v>475000</v>
      </c>
      <c r="C20" s="39">
        <f t="shared" si="4"/>
        <v>-265879.32291666663</v>
      </c>
      <c r="D20" s="39">
        <f t="shared" si="4"/>
        <v>-918005.9375</v>
      </c>
      <c r="E20" s="39">
        <f t="shared" si="4"/>
        <v>-31909.5</v>
      </c>
      <c r="F20" s="39">
        <f t="shared" si="4"/>
        <v>4368521.229166666</v>
      </c>
      <c r="G20" s="39">
        <f t="shared" si="4"/>
        <v>15632238.833333332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8C00"/>
  </sheetPr>
  <dimension ref="A1:H23"/>
  <sheetViews>
    <sheetView tabSelected="1" zoomScale="82" zoomScaleNormal="100" workbookViewId="0">
      <selection activeCell="B15" sqref="B15"/>
    </sheetView>
  </sheetViews>
  <sheetFormatPr defaultColWidth="8.6328125" defaultRowHeight="14.5" x14ac:dyDescent="0.35"/>
  <cols>
    <col min="1" max="1" width="42" customWidth="1"/>
    <col min="2" max="8" width="17" customWidth="1"/>
  </cols>
  <sheetData>
    <row r="1" spans="1:8" ht="17.25" customHeight="1" x14ac:dyDescent="0.4">
      <c r="A1" s="1" t="s">
        <v>162</v>
      </c>
    </row>
    <row r="2" spans="1:8" ht="15" customHeight="1" x14ac:dyDescent="0.35">
      <c r="A2" s="2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spans="1:8" ht="15" customHeight="1" x14ac:dyDescent="0.35">
      <c r="A3" s="3" t="s">
        <v>163</v>
      </c>
      <c r="B3" s="4"/>
      <c r="C3" s="4"/>
      <c r="D3" s="4"/>
      <c r="E3" s="4"/>
      <c r="F3" s="4"/>
      <c r="G3" s="4"/>
      <c r="H3" s="4"/>
    </row>
    <row r="4" spans="1:8" ht="15" customHeight="1" x14ac:dyDescent="0.35">
      <c r="A4" s="20" t="s">
        <v>164</v>
      </c>
      <c r="B4" s="22">
        <f>'Cash Flow'!B7</f>
        <v>-95000</v>
      </c>
      <c r="C4" s="22">
        <f>'Cash Flow'!C7</f>
        <v>-560879.32291666663</v>
      </c>
      <c r="D4" s="22">
        <f>'Cash Flow'!D7</f>
        <v>-402126.61458333337</v>
      </c>
      <c r="E4" s="22">
        <f>'Cash Flow'!E7</f>
        <v>1086096.4375</v>
      </c>
      <c r="F4" s="22">
        <f>'Cash Flow'!F7</f>
        <v>4700430.729166666</v>
      </c>
      <c r="G4" s="22">
        <f>'Cash Flow'!G7</f>
        <v>11663717.604166666</v>
      </c>
    </row>
    <row r="5" spans="1:8" ht="15" customHeight="1" x14ac:dyDescent="0.35">
      <c r="A5" s="20" t="s">
        <v>154</v>
      </c>
      <c r="B5" s="22">
        <f>'Cash Flow'!B10</f>
        <v>-350000</v>
      </c>
      <c r="C5" s="22">
        <f>'Cash Flow'!C10</f>
        <v>-180000</v>
      </c>
      <c r="D5" s="22">
        <f>'Cash Flow'!D10</f>
        <v>-250000</v>
      </c>
      <c r="E5" s="22">
        <f>'Cash Flow'!E10</f>
        <v>-200000</v>
      </c>
      <c r="F5" s="22">
        <f>'Cash Flow'!F10</f>
        <v>-300000</v>
      </c>
      <c r="G5" s="22">
        <f>'Cash Flow'!G10</f>
        <v>-400000</v>
      </c>
    </row>
    <row r="6" spans="1:8" ht="15" customHeight="1" x14ac:dyDescent="0.35">
      <c r="A6" s="23" t="s">
        <v>165</v>
      </c>
      <c r="B6" s="24">
        <f t="shared" ref="B6:G6" si="0">B4+B5</f>
        <v>-445000</v>
      </c>
      <c r="C6" s="24">
        <f t="shared" si="0"/>
        <v>-740879.32291666663</v>
      </c>
      <c r="D6" s="24">
        <f t="shared" si="0"/>
        <v>-652126.61458333337</v>
      </c>
      <c r="E6" s="24">
        <f t="shared" si="0"/>
        <v>886096.4375</v>
      </c>
      <c r="F6" s="24">
        <f t="shared" si="0"/>
        <v>4400430.729166666</v>
      </c>
      <c r="G6" s="24">
        <f t="shared" si="0"/>
        <v>11263717.604166666</v>
      </c>
    </row>
    <row r="8" spans="1:8" ht="15" customHeight="1" x14ac:dyDescent="0.35">
      <c r="A8" s="3" t="s">
        <v>166</v>
      </c>
      <c r="B8" s="4"/>
      <c r="C8" s="4"/>
      <c r="D8" s="4"/>
      <c r="E8" s="4"/>
      <c r="F8" s="4"/>
      <c r="G8" s="4"/>
      <c r="H8" s="4"/>
    </row>
    <row r="9" spans="1:8" ht="15" customHeight="1" x14ac:dyDescent="0.35">
      <c r="A9" s="17" t="s">
        <v>167</v>
      </c>
      <c r="B9" s="22">
        <f>-Assumptions!B44</f>
        <v>-920000</v>
      </c>
      <c r="C9" s="26">
        <v>0</v>
      </c>
      <c r="D9" s="26">
        <v>0</v>
      </c>
      <c r="E9" s="26">
        <v>0</v>
      </c>
      <c r="F9" s="26">
        <v>0</v>
      </c>
      <c r="G9" s="26">
        <v>0</v>
      </c>
    </row>
    <row r="10" spans="1:8" ht="15" customHeight="1" x14ac:dyDescent="0.35">
      <c r="A10" s="9" t="s">
        <v>165</v>
      </c>
      <c r="B10" s="26">
        <f t="shared" ref="B10:G10" si="1">B6</f>
        <v>-445000</v>
      </c>
      <c r="C10" s="26">
        <f t="shared" si="1"/>
        <v>-740879.32291666663</v>
      </c>
      <c r="D10" s="26">
        <f t="shared" si="1"/>
        <v>-652126.61458333337</v>
      </c>
      <c r="E10" s="26">
        <f t="shared" si="1"/>
        <v>886096.4375</v>
      </c>
      <c r="F10" s="26">
        <f t="shared" si="1"/>
        <v>4400430.729166666</v>
      </c>
      <c r="G10" s="26">
        <f t="shared" si="1"/>
        <v>11263717.604166666</v>
      </c>
    </row>
    <row r="11" spans="1:8" ht="15" customHeight="1" x14ac:dyDescent="0.35">
      <c r="A11" s="9" t="s">
        <v>168</v>
      </c>
      <c r="G11" s="22">
        <f>'Income Statement'!G25*Assumptions!$B$47</f>
        <v>160535250</v>
      </c>
      <c r="H11" s="9"/>
    </row>
    <row r="12" spans="1:8" ht="15" customHeight="1" x14ac:dyDescent="0.35">
      <c r="A12" s="23" t="s">
        <v>169</v>
      </c>
      <c r="B12" s="24">
        <f>B9</f>
        <v>-920000</v>
      </c>
      <c r="C12" s="24">
        <f>C10</f>
        <v>-740879.32291666663</v>
      </c>
      <c r="D12" s="24">
        <f>D10</f>
        <v>-652126.61458333337</v>
      </c>
      <c r="E12" s="24">
        <f>E10</f>
        <v>886096.4375</v>
      </c>
      <c r="F12" s="24">
        <f>F10</f>
        <v>4400430.729166666</v>
      </c>
      <c r="G12" s="24">
        <f>G10+G11</f>
        <v>171798967.60416666</v>
      </c>
    </row>
    <row r="14" spans="1:8" ht="17.25" customHeight="1" x14ac:dyDescent="0.4">
      <c r="A14" s="1" t="s">
        <v>170</v>
      </c>
      <c r="B14" s="40">
        <f>IRR(B12:G12)</f>
        <v>1.7189745126591429</v>
      </c>
    </row>
    <row r="15" spans="1:8" ht="15" customHeight="1" x14ac:dyDescent="0.35">
      <c r="A15" s="9" t="s">
        <v>171</v>
      </c>
      <c r="B15" s="41">
        <f>Assumptions!B47</f>
        <v>10</v>
      </c>
    </row>
    <row r="16" spans="1:8" ht="15" customHeight="1" x14ac:dyDescent="0.35">
      <c r="A16" s="9" t="s">
        <v>172</v>
      </c>
      <c r="B16" s="42">
        <f>IF(-B9=0,0,G11/(-B9))</f>
        <v>174.49483695652174</v>
      </c>
    </row>
    <row r="18" spans="1:8" ht="15" customHeight="1" x14ac:dyDescent="0.35">
      <c r="A18" s="3" t="s">
        <v>173</v>
      </c>
      <c r="B18" s="4"/>
      <c r="C18" s="4"/>
      <c r="D18" s="4"/>
      <c r="E18" s="4"/>
      <c r="F18" s="4"/>
      <c r="G18" s="4"/>
      <c r="H18" s="4"/>
    </row>
    <row r="19" spans="1:8" ht="15" customHeight="1" x14ac:dyDescent="0.35">
      <c r="A19" s="20" t="s">
        <v>174</v>
      </c>
      <c r="C19" s="21">
        <f>Assumptions!C8</f>
        <v>800</v>
      </c>
      <c r="D19" s="21">
        <f>Assumptions!D8</f>
        <v>856</v>
      </c>
      <c r="E19" s="21">
        <f>Assumptions!E8</f>
        <v>916</v>
      </c>
      <c r="F19" s="21">
        <f>Assumptions!F8</f>
        <v>980</v>
      </c>
      <c r="G19" s="21">
        <f>Assumptions!G8</f>
        <v>1048</v>
      </c>
    </row>
    <row r="20" spans="1:8" ht="15" customHeight="1" x14ac:dyDescent="0.35">
      <c r="A20" s="9" t="s">
        <v>175</v>
      </c>
      <c r="C20" s="43">
        <f>'Revenue Detail'!C41/1000000</f>
        <v>0.30835000000000001</v>
      </c>
      <c r="D20" s="43">
        <f>'Revenue Detail'!D41/1000000</f>
        <v>1.7625</v>
      </c>
      <c r="E20" s="43">
        <f>'Revenue Detail'!E41/1000000</f>
        <v>5.9916</v>
      </c>
      <c r="F20" s="43">
        <f>'Revenue Detail'!F41/1000000</f>
        <v>13.1975</v>
      </c>
      <c r="G20" s="43">
        <f>'Revenue Detail'!G41/1000000</f>
        <v>26.094999999999999</v>
      </c>
    </row>
    <row r="21" spans="1:8" ht="15" customHeight="1" x14ac:dyDescent="0.35">
      <c r="A21" s="17" t="s">
        <v>176</v>
      </c>
      <c r="C21" s="44">
        <f>IF(C19=0,0,C20/C19)</f>
        <v>3.8543750000000004E-4</v>
      </c>
      <c r="D21" s="44">
        <f>IF(D19=0,0,D20/D19)</f>
        <v>2.0589953271028037E-3</v>
      </c>
      <c r="E21" s="44">
        <f>IF(E19=0,0,E20/E19)</f>
        <v>6.5410480349344978E-3</v>
      </c>
      <c r="F21" s="44">
        <f>IF(F19=0,0,F20/F19)</f>
        <v>1.3466836734693878E-2</v>
      </c>
      <c r="G21" s="44">
        <f>IF(G19=0,0,G20/G19)</f>
        <v>2.4899809160305344E-2</v>
      </c>
    </row>
    <row r="22" spans="1:8" ht="15" customHeight="1" x14ac:dyDescent="0.35">
      <c r="A22" s="9" t="s">
        <v>177</v>
      </c>
      <c r="C22" s="45">
        <v>18.2</v>
      </c>
      <c r="D22" s="45">
        <v>19</v>
      </c>
      <c r="E22" s="45">
        <v>19.5</v>
      </c>
      <c r="F22" s="45">
        <v>20</v>
      </c>
      <c r="G22" s="45">
        <v>20.5</v>
      </c>
    </row>
    <row r="23" spans="1:8" ht="15" customHeight="1" x14ac:dyDescent="0.35">
      <c r="A23" s="9" t="s">
        <v>178</v>
      </c>
      <c r="C23" s="31">
        <f>IF(C22=0,0,C20/C22)</f>
        <v>1.6942307692307694E-2</v>
      </c>
      <c r="D23" s="31">
        <f>IF(D22=0,0,D20/D22)</f>
        <v>9.2763157894736839E-2</v>
      </c>
      <c r="E23" s="31">
        <f>IF(E22=0,0,E20/E22)</f>
        <v>0.30726153846153847</v>
      </c>
      <c r="F23" s="31">
        <f>IF(F22=0,0,F20/F22)</f>
        <v>0.65987499999999999</v>
      </c>
      <c r="G23" s="31">
        <f>IF(G22=0,0,G20/G22)</f>
        <v>1.2729268292682927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00080"/>
  </sheetPr>
  <dimension ref="A1:G27"/>
  <sheetViews>
    <sheetView topLeftCell="A12" zoomScaleNormal="100" workbookViewId="0"/>
  </sheetViews>
  <sheetFormatPr defaultColWidth="8.6328125" defaultRowHeight="14.5" x14ac:dyDescent="0.35"/>
  <cols>
    <col min="1" max="1" width="22" customWidth="1"/>
    <col min="2" max="9" width="14" customWidth="1"/>
  </cols>
  <sheetData>
    <row r="1" spans="1:7" ht="17.25" customHeight="1" x14ac:dyDescent="0.4">
      <c r="A1" s="1" t="s">
        <v>179</v>
      </c>
    </row>
    <row r="3" spans="1:7" ht="15" customHeight="1" x14ac:dyDescent="0.35">
      <c r="A3" s="30" t="s">
        <v>180</v>
      </c>
    </row>
    <row r="4" spans="1:7" ht="15" customHeight="1" x14ac:dyDescent="0.35">
      <c r="A4" s="17" t="s">
        <v>181</v>
      </c>
      <c r="B4" s="46">
        <v>0.7</v>
      </c>
      <c r="C4" s="46">
        <v>0.85</v>
      </c>
      <c r="D4" s="46">
        <v>1</v>
      </c>
      <c r="E4" s="46">
        <v>1.1499999999999999</v>
      </c>
      <c r="F4" s="46">
        <v>1.3</v>
      </c>
      <c r="G4" s="9" t="s">
        <v>182</v>
      </c>
    </row>
    <row r="5" spans="1:7" ht="15" customHeight="1" x14ac:dyDescent="0.35">
      <c r="A5" s="47" t="s">
        <v>183</v>
      </c>
      <c r="B5" s="48">
        <f>IFERROR('Income Statement'!G25*0.7*6/Assumptions!$B$44,0)</f>
        <v>73.287831521739136</v>
      </c>
      <c r="C5" s="48">
        <f>IFERROR('Income Statement'!G25*0.85*6/Assumptions!$B$44,0)</f>
        <v>88.992366847826091</v>
      </c>
      <c r="D5" s="48">
        <f>IFERROR('Income Statement'!G25*1*6/Assumptions!$B$44,0)</f>
        <v>104.69690217391305</v>
      </c>
      <c r="E5" s="48">
        <f>IFERROR('Income Statement'!G25*1.15*6/Assumptions!$B$44,0)</f>
        <v>120.4014375</v>
      </c>
      <c r="F5" s="48">
        <f>IFERROR('Income Statement'!G25*1.3*6/Assumptions!$B$44,0)</f>
        <v>136.10597282608697</v>
      </c>
    </row>
    <row r="6" spans="1:7" ht="15" customHeight="1" x14ac:dyDescent="0.35">
      <c r="A6" s="47" t="s">
        <v>184</v>
      </c>
      <c r="B6" s="48">
        <f>IFERROR('Income Statement'!G25*0.7*8/Assumptions!$B$44,0)</f>
        <v>97.717108695652172</v>
      </c>
      <c r="C6" s="48">
        <f>IFERROR('Income Statement'!G25*0.85*8/Assumptions!$B$44,0)</f>
        <v>118.65648913043478</v>
      </c>
      <c r="D6" s="48">
        <f>IFERROR('Income Statement'!G25*1*8/Assumptions!$B$44,0)</f>
        <v>139.59586956521738</v>
      </c>
      <c r="E6" s="48">
        <f>IFERROR('Income Statement'!G25*1.15*8/Assumptions!$B$44,0)</f>
        <v>160.53524999999999</v>
      </c>
      <c r="F6" s="48">
        <f>IFERROR('Income Statement'!G25*1.3*8/Assumptions!$B$44,0)</f>
        <v>181.4746304347826</v>
      </c>
    </row>
    <row r="7" spans="1:7" ht="15" customHeight="1" x14ac:dyDescent="0.35">
      <c r="A7" s="47" t="s">
        <v>185</v>
      </c>
      <c r="B7" s="48">
        <f>IFERROR('Income Statement'!G25*0.7*10/Assumptions!$B$44,0)</f>
        <v>122.14638586956522</v>
      </c>
      <c r="C7" s="48">
        <f>IFERROR('Income Statement'!G25*0.85*10/Assumptions!$B$44,0)</f>
        <v>148.32061141304348</v>
      </c>
      <c r="D7" s="49">
        <f>IFERROR('Income Statement'!G25*1*10/Assumptions!$B$44,0)</f>
        <v>174.49483695652174</v>
      </c>
      <c r="E7" s="48">
        <f>IFERROR('Income Statement'!G25*1.15*10/Assumptions!$B$44,0)</f>
        <v>200.6690625</v>
      </c>
      <c r="F7" s="48">
        <f>IFERROR('Income Statement'!G25*1.3*10/Assumptions!$B$44,0)</f>
        <v>226.84328804347825</v>
      </c>
    </row>
    <row r="8" spans="1:7" ht="15" customHeight="1" x14ac:dyDescent="0.35">
      <c r="A8" s="47" t="s">
        <v>186</v>
      </c>
      <c r="B8" s="48">
        <f>IFERROR('Income Statement'!G25*0.7*12/Assumptions!$B$44,0)</f>
        <v>146.57566304347827</v>
      </c>
      <c r="C8" s="48">
        <f>IFERROR('Income Statement'!G25*0.85*12/Assumptions!$B$44,0)</f>
        <v>177.98473369565218</v>
      </c>
      <c r="D8" s="48">
        <f>IFERROR('Income Statement'!G25*1*12/Assumptions!$B$44,0)</f>
        <v>209.39380434782609</v>
      </c>
      <c r="E8" s="48">
        <f>IFERROR('Income Statement'!G25*1.15*12/Assumptions!$B$44,0)</f>
        <v>240.802875</v>
      </c>
      <c r="F8" s="48">
        <f>IFERROR('Income Statement'!G25*1.3*12/Assumptions!$B$44,0)</f>
        <v>272.21194565217394</v>
      </c>
    </row>
    <row r="9" spans="1:7" ht="15" customHeight="1" x14ac:dyDescent="0.35">
      <c r="A9" s="47" t="s">
        <v>187</v>
      </c>
      <c r="B9" s="48">
        <f>IFERROR('Income Statement'!G25*0.7*15/Assumptions!$B$44,0)</f>
        <v>183.21957880434783</v>
      </c>
      <c r="C9" s="48">
        <f>IFERROR('Income Statement'!G25*0.85*15/Assumptions!$B$44,0)</f>
        <v>222.48091711956522</v>
      </c>
      <c r="D9" s="48">
        <f>IFERROR('Income Statement'!G25*1*15/Assumptions!$B$44,0)</f>
        <v>261.74225543478263</v>
      </c>
      <c r="E9" s="48">
        <f>IFERROR('Income Statement'!G25*1.15*15/Assumptions!$B$44,0)</f>
        <v>301.00359374999999</v>
      </c>
      <c r="F9" s="48">
        <f>IFERROR('Income Statement'!G25*1.3*15/Assumptions!$B$44,0)</f>
        <v>340.26493206521741</v>
      </c>
    </row>
    <row r="12" spans="1:7" ht="15" customHeight="1" x14ac:dyDescent="0.35">
      <c r="A12" s="30" t="s">
        <v>188</v>
      </c>
    </row>
    <row r="13" spans="1:7" ht="15" customHeight="1" x14ac:dyDescent="0.35">
      <c r="A13" s="17" t="s">
        <v>189</v>
      </c>
      <c r="B13" s="2" t="s">
        <v>190</v>
      </c>
      <c r="C13" s="2" t="s">
        <v>191</v>
      </c>
      <c r="D13" s="2" t="s">
        <v>192</v>
      </c>
      <c r="E13" s="2" t="s">
        <v>193</v>
      </c>
      <c r="F13" s="2" t="s">
        <v>194</v>
      </c>
    </row>
    <row r="14" spans="1:7" ht="15" customHeight="1" x14ac:dyDescent="0.35">
      <c r="A14" s="47" t="s">
        <v>195</v>
      </c>
      <c r="B14" s="26">
        <v>1800000</v>
      </c>
      <c r="C14" s="26">
        <v>2160000</v>
      </c>
      <c r="D14" s="26">
        <v>2448000</v>
      </c>
      <c r="E14" s="26">
        <v>2880000</v>
      </c>
      <c r="F14" s="26">
        <v>3240000</v>
      </c>
    </row>
    <row r="15" spans="1:7" ht="15" customHeight="1" x14ac:dyDescent="0.35">
      <c r="A15" s="47" t="s">
        <v>196</v>
      </c>
      <c r="B15" s="26">
        <v>2400000</v>
      </c>
      <c r="C15" s="26">
        <v>2880000</v>
      </c>
      <c r="D15" s="26">
        <v>3264000</v>
      </c>
      <c r="E15" s="26">
        <v>3840000</v>
      </c>
      <c r="F15" s="26">
        <v>4320000</v>
      </c>
    </row>
    <row r="16" spans="1:7" ht="15" customHeight="1" x14ac:dyDescent="0.35">
      <c r="A16" s="47" t="s">
        <v>197</v>
      </c>
      <c r="B16" s="26">
        <v>3000000</v>
      </c>
      <c r="C16" s="26">
        <v>3600000</v>
      </c>
      <c r="D16" s="50">
        <v>4080000</v>
      </c>
      <c r="E16" s="26">
        <v>4800000</v>
      </c>
      <c r="F16" s="26">
        <v>5400000</v>
      </c>
    </row>
    <row r="17" spans="1:6" ht="15" customHeight="1" x14ac:dyDescent="0.35">
      <c r="A17" s="47" t="s">
        <v>198</v>
      </c>
      <c r="B17" s="26">
        <v>3600000</v>
      </c>
      <c r="C17" s="26">
        <v>4320000</v>
      </c>
      <c r="D17" s="26">
        <v>4896000</v>
      </c>
      <c r="E17" s="26">
        <v>5760000</v>
      </c>
      <c r="F17" s="26">
        <v>6480000</v>
      </c>
    </row>
    <row r="18" spans="1:6" ht="15" customHeight="1" x14ac:dyDescent="0.35">
      <c r="A18" s="47" t="s">
        <v>199</v>
      </c>
      <c r="B18" s="26">
        <v>4500000</v>
      </c>
      <c r="C18" s="26">
        <v>5400000</v>
      </c>
      <c r="D18" s="26">
        <v>6120000</v>
      </c>
      <c r="E18" s="26">
        <v>7200000</v>
      </c>
      <c r="F18" s="26">
        <v>8100000</v>
      </c>
    </row>
    <row r="21" spans="1:6" ht="15" customHeight="1" x14ac:dyDescent="0.35">
      <c r="A21" s="30" t="s">
        <v>200</v>
      </c>
    </row>
    <row r="22" spans="1:6" ht="15" customHeight="1" x14ac:dyDescent="0.35">
      <c r="A22" s="17" t="s">
        <v>201</v>
      </c>
      <c r="B22" s="51">
        <v>0.5</v>
      </c>
      <c r="C22" s="51">
        <v>0.55000000000000004</v>
      </c>
      <c r="D22" s="51">
        <v>0.6</v>
      </c>
      <c r="E22" s="51">
        <v>0.65</v>
      </c>
      <c r="F22" s="51">
        <v>0.7</v>
      </c>
    </row>
    <row r="23" spans="1:6" ht="15" customHeight="1" x14ac:dyDescent="0.35">
      <c r="A23" s="47" t="s">
        <v>202</v>
      </c>
      <c r="B23" s="31">
        <v>0.2</v>
      </c>
      <c r="C23" s="31">
        <v>0.15</v>
      </c>
      <c r="D23" s="31">
        <v>0.1</v>
      </c>
      <c r="E23" s="31">
        <v>4.9999999999999899E-2</v>
      </c>
      <c r="F23" s="31">
        <v>0</v>
      </c>
    </row>
    <row r="24" spans="1:6" ht="15" customHeight="1" x14ac:dyDescent="0.35">
      <c r="A24" s="47" t="s">
        <v>203</v>
      </c>
      <c r="B24" s="31">
        <v>0.25</v>
      </c>
      <c r="C24" s="31">
        <v>0.2</v>
      </c>
      <c r="D24" s="31">
        <v>0.15</v>
      </c>
      <c r="E24" s="31">
        <v>0.1</v>
      </c>
      <c r="F24" s="31">
        <v>0.05</v>
      </c>
    </row>
    <row r="25" spans="1:6" ht="15" customHeight="1" x14ac:dyDescent="0.35">
      <c r="A25" s="47" t="s">
        <v>204</v>
      </c>
      <c r="B25" s="31">
        <v>0.3</v>
      </c>
      <c r="C25" s="31">
        <v>0.25</v>
      </c>
      <c r="D25" s="31">
        <v>0.2</v>
      </c>
      <c r="E25" s="31">
        <v>0.15</v>
      </c>
      <c r="F25" s="31">
        <v>0.1</v>
      </c>
    </row>
    <row r="26" spans="1:6" ht="15" customHeight="1" x14ac:dyDescent="0.35">
      <c r="A26" s="47" t="s">
        <v>205</v>
      </c>
      <c r="B26" s="31">
        <v>0.35</v>
      </c>
      <c r="C26" s="31">
        <v>0.3</v>
      </c>
      <c r="D26" s="31">
        <v>0.25</v>
      </c>
      <c r="E26" s="31">
        <v>0.2</v>
      </c>
      <c r="F26" s="31">
        <v>0.15</v>
      </c>
    </row>
    <row r="27" spans="1:6" ht="15" customHeight="1" x14ac:dyDescent="0.35">
      <c r="A27" s="47" t="s">
        <v>206</v>
      </c>
      <c r="B27" s="31">
        <v>0.4</v>
      </c>
      <c r="C27" s="31">
        <v>0.35</v>
      </c>
      <c r="D27" s="31">
        <v>0.3</v>
      </c>
      <c r="E27" s="31">
        <v>0.25</v>
      </c>
      <c r="F27" s="31">
        <v>0.2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E75B6"/>
  </sheetPr>
  <dimension ref="A1:H69"/>
  <sheetViews>
    <sheetView zoomScaleNormal="100" workbookViewId="0"/>
  </sheetViews>
  <sheetFormatPr defaultColWidth="8.6328125" defaultRowHeight="14.5" x14ac:dyDescent="0.35"/>
  <cols>
    <col min="1" max="1" width="20" customWidth="1"/>
    <col min="2" max="7" width="14" customWidth="1"/>
  </cols>
  <sheetData>
    <row r="1" spans="1:7" ht="17.25" customHeight="1" x14ac:dyDescent="0.4">
      <c r="A1" s="1" t="s">
        <v>207</v>
      </c>
    </row>
    <row r="3" spans="1:7" ht="15" customHeight="1" x14ac:dyDescent="0.35">
      <c r="A3" s="17" t="s">
        <v>208</v>
      </c>
      <c r="B3" s="52" t="s">
        <v>209</v>
      </c>
      <c r="C3" s="52" t="s">
        <v>210</v>
      </c>
      <c r="D3" s="52" t="s">
        <v>211</v>
      </c>
      <c r="E3" s="52" t="s">
        <v>212</v>
      </c>
      <c r="F3" s="52" t="s">
        <v>213</v>
      </c>
      <c r="G3" s="52" t="s">
        <v>214</v>
      </c>
    </row>
    <row r="4" spans="1:7" ht="15" customHeight="1" x14ac:dyDescent="0.35">
      <c r="A4" s="20" t="s">
        <v>215</v>
      </c>
      <c r="B4" s="53">
        <f>'Income Statement'!B4</f>
        <v>0</v>
      </c>
      <c r="C4" s="53">
        <f>'Income Statement'!C4</f>
        <v>308350</v>
      </c>
      <c r="D4" s="53">
        <f>'Income Statement'!D4</f>
        <v>1762500</v>
      </c>
      <c r="E4" s="53">
        <f>'Income Statement'!E4</f>
        <v>5991600</v>
      </c>
      <c r="F4" s="53">
        <f>'Income Statement'!F4</f>
        <v>13197500</v>
      </c>
      <c r="G4" s="53">
        <f>'Income Statement'!G4</f>
        <v>26095000</v>
      </c>
    </row>
    <row r="5" spans="1:7" ht="15" customHeight="1" x14ac:dyDescent="0.35">
      <c r="A5" s="20" t="s">
        <v>102</v>
      </c>
      <c r="B5" s="53">
        <f>'Income Statement'!B11</f>
        <v>6000</v>
      </c>
      <c r="C5" s="53">
        <f>'Income Statement'!C11</f>
        <v>67708.75</v>
      </c>
      <c r="D5" s="53">
        <f>'Income Statement'!D11</f>
        <v>170062.5</v>
      </c>
      <c r="E5" s="53">
        <f>'Income Statement'!E11</f>
        <v>365790</v>
      </c>
      <c r="F5" s="53">
        <f>'Income Statement'!F11</f>
        <v>689937.5</v>
      </c>
      <c r="G5" s="53">
        <f>'Income Statement'!G11</f>
        <v>1216375</v>
      </c>
    </row>
    <row r="6" spans="1:7" ht="15" customHeight="1" x14ac:dyDescent="0.35">
      <c r="A6" s="20" t="s">
        <v>108</v>
      </c>
      <c r="B6" s="53">
        <f>'Income Statement'!B12</f>
        <v>-6000</v>
      </c>
      <c r="C6" s="53">
        <f>'Income Statement'!C12</f>
        <v>240641.25</v>
      </c>
      <c r="D6" s="53">
        <f>'Income Statement'!D12</f>
        <v>1592437.5</v>
      </c>
      <c r="E6" s="53">
        <f>'Income Statement'!E12</f>
        <v>5625810</v>
      </c>
      <c r="F6" s="53">
        <f>'Income Statement'!F12</f>
        <v>12507562.5</v>
      </c>
      <c r="G6" s="53">
        <f>'Income Statement'!G12</f>
        <v>24878625</v>
      </c>
    </row>
    <row r="7" spans="1:7" ht="15" customHeight="1" x14ac:dyDescent="0.35">
      <c r="A7" s="20" t="s">
        <v>110</v>
      </c>
      <c r="B7" s="53">
        <f>'Income Statement'!B23</f>
        <v>59000</v>
      </c>
      <c r="C7" s="53">
        <f>'Income Statement'!C23</f>
        <v>763592.5</v>
      </c>
      <c r="D7" s="53">
        <f>'Income Statement'!D23</f>
        <v>1795000</v>
      </c>
      <c r="E7" s="53">
        <f>'Income Statement'!E23</f>
        <v>3613480</v>
      </c>
      <c r="F7" s="53">
        <f>'Income Statement'!F23</f>
        <v>5699450</v>
      </c>
      <c r="G7" s="53">
        <f>'Income Statement'!G23</f>
        <v>8825100</v>
      </c>
    </row>
    <row r="8" spans="1:7" ht="15" customHeight="1" x14ac:dyDescent="0.35">
      <c r="A8" s="20" t="s">
        <v>119</v>
      </c>
      <c r="B8" s="53">
        <f>'Income Statement'!B25</f>
        <v>-65000</v>
      </c>
      <c r="C8" s="53">
        <f>'Income Statement'!C25</f>
        <v>-522951.25</v>
      </c>
      <c r="D8" s="53">
        <f>'Income Statement'!D25</f>
        <v>-202562.5</v>
      </c>
      <c r="E8" s="53">
        <f>'Income Statement'!E25</f>
        <v>2012330</v>
      </c>
      <c r="F8" s="53">
        <f>'Income Statement'!F25</f>
        <v>6808112.5</v>
      </c>
      <c r="G8" s="53">
        <f>'Income Statement'!G25</f>
        <v>16053525</v>
      </c>
    </row>
    <row r="9" spans="1:7" ht="15" customHeight="1" x14ac:dyDescent="0.35">
      <c r="A9" s="20" t="s">
        <v>149</v>
      </c>
      <c r="B9" s="53">
        <f>'Income Statement'!B33</f>
        <v>-65000</v>
      </c>
      <c r="C9" s="53">
        <f>'Income Statement'!C33</f>
        <v>-558951.25</v>
      </c>
      <c r="D9" s="53">
        <f>'Income Statement'!D33</f>
        <v>-252562.5</v>
      </c>
      <c r="E9" s="53">
        <f>'Income Statement'!E33</f>
        <v>1676480.5</v>
      </c>
      <c r="F9" s="53">
        <f>'Income Statement'!F33</f>
        <v>5735895.625</v>
      </c>
      <c r="G9" s="53">
        <f>'Income Statement'!G33</f>
        <v>13577496.25</v>
      </c>
    </row>
    <row r="10" spans="1:7" ht="15" customHeight="1" x14ac:dyDescent="0.35">
      <c r="A10" s="20" t="s">
        <v>154</v>
      </c>
      <c r="B10" s="53">
        <f>Assumptions!B43</f>
        <v>350000</v>
      </c>
      <c r="C10" s="53">
        <f>Assumptions!C43</f>
        <v>180000</v>
      </c>
      <c r="D10" s="53">
        <f>Assumptions!D43</f>
        <v>250000</v>
      </c>
      <c r="E10" s="53">
        <f>Assumptions!E43</f>
        <v>200000</v>
      </c>
      <c r="F10" s="53">
        <f>Assumptions!F43</f>
        <v>300000</v>
      </c>
      <c r="G10" s="53">
        <f>Assumptions!G43</f>
        <v>400000</v>
      </c>
    </row>
    <row r="11" spans="1:7" ht="15" customHeight="1" x14ac:dyDescent="0.35">
      <c r="A11" s="20" t="s">
        <v>165</v>
      </c>
      <c r="B11" s="53">
        <f>'IRR &amp; Returns'!B6</f>
        <v>-445000</v>
      </c>
      <c r="C11" s="53">
        <f>'IRR &amp; Returns'!C6</f>
        <v>-740879.32291666663</v>
      </c>
      <c r="D11" s="53">
        <f>'IRR &amp; Returns'!D6</f>
        <v>-652126.61458333337</v>
      </c>
      <c r="E11" s="53">
        <f>'IRR &amp; Returns'!E6</f>
        <v>886096.4375</v>
      </c>
      <c r="F11" s="53">
        <f>'IRR &amp; Returns'!F6</f>
        <v>4400430.729166666</v>
      </c>
      <c r="G11" s="53">
        <f>'IRR &amp; Returns'!G6</f>
        <v>11263717.604166666</v>
      </c>
    </row>
    <row r="12" spans="1:7" ht="15" customHeight="1" x14ac:dyDescent="0.35">
      <c r="A12" s="20" t="s">
        <v>216</v>
      </c>
      <c r="B12" s="53">
        <f>'Balance Sheet'!B4</f>
        <v>475000</v>
      </c>
      <c r="C12" s="53">
        <f>'Balance Sheet'!C4</f>
        <v>-265879.32291666663</v>
      </c>
      <c r="D12" s="53">
        <f>'Balance Sheet'!D4</f>
        <v>-918005.9375</v>
      </c>
      <c r="E12" s="53">
        <f>'Balance Sheet'!E4</f>
        <v>-31909.5</v>
      </c>
      <c r="F12" s="53">
        <f>'Balance Sheet'!F4</f>
        <v>4368521.229166666</v>
      </c>
      <c r="G12" s="53">
        <f>'Balance Sheet'!G4</f>
        <v>15632238.833333332</v>
      </c>
    </row>
    <row r="14" spans="1:7" ht="15" customHeight="1" x14ac:dyDescent="0.35">
      <c r="A14" s="9" t="s">
        <v>109</v>
      </c>
      <c r="C14" s="54">
        <f>IF(C4=0,0,C6/C4)</f>
        <v>0.78041592346359656</v>
      </c>
      <c r="D14" s="54">
        <f>IF(D4=0,0,D6/D4)</f>
        <v>0.90351063829787237</v>
      </c>
      <c r="E14" s="54">
        <f>IF(E4=0,0,E6/E4)</f>
        <v>0.93894952934107756</v>
      </c>
      <c r="F14" s="54">
        <f>IF(F4=0,0,F6/F4)</f>
        <v>0.94772210645955668</v>
      </c>
      <c r="G14" s="54">
        <f>IF(G4=0,0,G6/G4)</f>
        <v>0.95338666411189887</v>
      </c>
    </row>
    <row r="15" spans="1:7" ht="15" customHeight="1" x14ac:dyDescent="0.35">
      <c r="A15" s="9" t="s">
        <v>120</v>
      </c>
      <c r="C15" s="54">
        <f>IF(C4=0,0,C8/C4)</f>
        <v>-1.6959664342467975</v>
      </c>
      <c r="D15" s="54">
        <f>IF(D4=0,0,D8/D4)</f>
        <v>-0.11492907801418439</v>
      </c>
      <c r="E15" s="54">
        <f>IF(E4=0,0,E8/E4)</f>
        <v>0.33585853528272913</v>
      </c>
      <c r="F15" s="54">
        <f>IF(F4=0,0,F8/F4)</f>
        <v>0.51586379996211407</v>
      </c>
      <c r="G15" s="54">
        <f>IF(G4=0,0,G8/G4)</f>
        <v>0.61519543973941371</v>
      </c>
    </row>
    <row r="16" spans="1:7" ht="15" customHeight="1" x14ac:dyDescent="0.35">
      <c r="A16" s="9" t="s">
        <v>127</v>
      </c>
      <c r="C16" s="54">
        <f>IF(C4=0,0,C9/C4)</f>
        <v>-1.8127168801686395</v>
      </c>
      <c r="D16" s="54">
        <f>IF(D4=0,0,D9/D4)</f>
        <v>-0.14329787234042554</v>
      </c>
      <c r="E16" s="54">
        <f>IF(E4=0,0,E9/E4)</f>
        <v>0.27980514386808197</v>
      </c>
      <c r="F16" s="54">
        <f>IF(F4=0,0,F9/F4)</f>
        <v>0.43461986171623412</v>
      </c>
      <c r="G16" s="54">
        <f>IF(G4=0,0,G9/G4)</f>
        <v>0.52031026058631924</v>
      </c>
    </row>
    <row r="67" spans="1:8" ht="15" customHeight="1" x14ac:dyDescent="0.35">
      <c r="A67" s="30" t="s">
        <v>217</v>
      </c>
    </row>
    <row r="68" spans="1:8" ht="15" customHeight="1" x14ac:dyDescent="0.35">
      <c r="B68" s="55" t="s">
        <v>218</v>
      </c>
      <c r="C68" s="55" t="s">
        <v>219</v>
      </c>
      <c r="D68" s="55" t="s">
        <v>220</v>
      </c>
      <c r="E68" s="55" t="s">
        <v>221</v>
      </c>
      <c r="F68" s="55" t="s">
        <v>222</v>
      </c>
      <c r="G68" s="55" t="s">
        <v>223</v>
      </c>
      <c r="H68" s="55" t="s">
        <v>224</v>
      </c>
    </row>
    <row r="69" spans="1:8" ht="15" customHeight="1" x14ac:dyDescent="0.35">
      <c r="B69" s="56">
        <f>'Revenue Detail'!G6</f>
        <v>4080000</v>
      </c>
      <c r="C69" s="56">
        <f>'Revenue Detail'!G11</f>
        <v>1925000</v>
      </c>
      <c r="D69" s="56">
        <f>'Revenue Detail'!G16</f>
        <v>840000</v>
      </c>
      <c r="E69" s="56">
        <f>'Revenue Detail'!G22</f>
        <v>11550000</v>
      </c>
      <c r="F69" s="56">
        <f>'Revenue Detail'!G28</f>
        <v>2030000</v>
      </c>
      <c r="G69" s="56">
        <f>'Revenue Detail'!G33</f>
        <v>1890000</v>
      </c>
      <c r="H69" s="56">
        <f>'Revenue Detail'!G38</f>
        <v>3780000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Assumptions</vt:lpstr>
      <vt:lpstr>Revenue Detail</vt:lpstr>
      <vt:lpstr>Income Statement</vt:lpstr>
      <vt:lpstr>Balance Sheet</vt:lpstr>
      <vt:lpstr>Cash Flow</vt:lpstr>
      <vt:lpstr>IRR &amp; Returns</vt:lpstr>
      <vt:lpstr>Sensitivity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João Pedro Barros de Ávila</cp:lastModifiedBy>
  <cp:revision>3</cp:revision>
  <dcterms:created xsi:type="dcterms:W3CDTF">2026-03-08T20:39:01Z</dcterms:created>
  <dcterms:modified xsi:type="dcterms:W3CDTF">2026-03-09T12:19:23Z</dcterms:modified>
  <dc:language>en-US</dc:language>
</cp:coreProperties>
</file>