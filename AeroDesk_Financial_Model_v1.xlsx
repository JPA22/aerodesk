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48771e9b4f96367/Documentos/New folder/"/>
    </mc:Choice>
  </mc:AlternateContent>
  <xr:revisionPtr revIDLastSave="0" documentId="8_{C2405B5E-6D52-4B2D-88DF-D04C2BCDEB1C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Assumptions" sheetId="1" r:id="rId1"/>
    <sheet name="Revenue Detail" sheetId="2" r:id="rId2"/>
    <sheet name="Income Statement" sheetId="3" r:id="rId3"/>
    <sheet name="Balance Sheet" sheetId="4" r:id="rId4"/>
    <sheet name="Cash Flow" sheetId="5" r:id="rId5"/>
    <sheet name="IRR &amp; Retur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6" l="1"/>
  <c r="G20" i="6"/>
  <c r="F20" i="6"/>
  <c r="E20" i="6"/>
  <c r="D20" i="6"/>
  <c r="C20" i="6"/>
  <c r="B9" i="6"/>
  <c r="B12" i="6" s="1"/>
  <c r="G5" i="6"/>
  <c r="B5" i="6"/>
  <c r="G15" i="5"/>
  <c r="F15" i="5"/>
  <c r="E15" i="5"/>
  <c r="D15" i="5"/>
  <c r="C15" i="5"/>
  <c r="B15" i="5"/>
  <c r="G11" i="5"/>
  <c r="F11" i="5"/>
  <c r="E11" i="5"/>
  <c r="G10" i="5"/>
  <c r="F10" i="5"/>
  <c r="F5" i="6" s="1"/>
  <c r="E10" i="5"/>
  <c r="E5" i="6" s="1"/>
  <c r="D10" i="5"/>
  <c r="D11" i="5" s="1"/>
  <c r="C10" i="5"/>
  <c r="C11" i="5" s="1"/>
  <c r="B10" i="5"/>
  <c r="B11" i="5" s="1"/>
  <c r="F5" i="5"/>
  <c r="E5" i="5"/>
  <c r="D5" i="5"/>
  <c r="C5" i="5"/>
  <c r="B21" i="4"/>
  <c r="B23" i="4" s="1"/>
  <c r="B16" i="4"/>
  <c r="B10" i="4"/>
  <c r="B25" i="4" s="1"/>
  <c r="B9" i="4"/>
  <c r="C9" i="4" s="1"/>
  <c r="D9" i="4" s="1"/>
  <c r="E9" i="4" s="1"/>
  <c r="F9" i="4" s="1"/>
  <c r="G9" i="4" s="1"/>
  <c r="B7" i="4"/>
  <c r="G28" i="3"/>
  <c r="G5" i="5" s="1"/>
  <c r="F28" i="3"/>
  <c r="E28" i="3"/>
  <c r="D28" i="3"/>
  <c r="C28" i="3"/>
  <c r="B28" i="3"/>
  <c r="B5" i="5" s="1"/>
  <c r="B23" i="3"/>
  <c r="G16" i="3"/>
  <c r="F16" i="3"/>
  <c r="E16" i="3"/>
  <c r="D16" i="3"/>
  <c r="C16" i="3"/>
  <c r="B16" i="3"/>
  <c r="G8" i="3"/>
  <c r="F8" i="3"/>
  <c r="E8" i="3"/>
  <c r="D8" i="3"/>
  <c r="C8" i="3"/>
  <c r="B8" i="3"/>
  <c r="B11" i="3" s="1"/>
  <c r="B12" i="3" s="1"/>
  <c r="B25" i="3" s="1"/>
  <c r="B29" i="3" s="1"/>
  <c r="B31" i="3" s="1"/>
  <c r="B33" i="3" s="1"/>
  <c r="B4" i="5" s="1"/>
  <c r="B4" i="3"/>
  <c r="G32" i="2"/>
  <c r="G33" i="2" s="1"/>
  <c r="F32" i="2"/>
  <c r="F33" i="2" s="1"/>
  <c r="E32" i="2"/>
  <c r="D32" i="2"/>
  <c r="C32" i="2"/>
  <c r="G31" i="2"/>
  <c r="F31" i="2"/>
  <c r="E31" i="2"/>
  <c r="E33" i="2" s="1"/>
  <c r="D31" i="2"/>
  <c r="D33" i="2" s="1"/>
  <c r="C31" i="2"/>
  <c r="C33" i="2" s="1"/>
  <c r="B31" i="2"/>
  <c r="G27" i="2"/>
  <c r="F27" i="2"/>
  <c r="E27" i="2"/>
  <c r="D27" i="2"/>
  <c r="C27" i="2"/>
  <c r="G26" i="2"/>
  <c r="F26" i="2"/>
  <c r="E26" i="2"/>
  <c r="E28" i="2" s="1"/>
  <c r="D26" i="2"/>
  <c r="C26" i="2"/>
  <c r="C28" i="2" s="1"/>
  <c r="G25" i="2"/>
  <c r="G28" i="2" s="1"/>
  <c r="F25" i="2"/>
  <c r="F28" i="2" s="1"/>
  <c r="E25" i="2"/>
  <c r="D25" i="2"/>
  <c r="D28" i="2" s="1"/>
  <c r="C25" i="2"/>
  <c r="E22" i="2"/>
  <c r="D22" i="2"/>
  <c r="G21" i="2"/>
  <c r="F21" i="2"/>
  <c r="E21" i="2"/>
  <c r="D21" i="2"/>
  <c r="C21" i="2"/>
  <c r="G20" i="2"/>
  <c r="G22" i="2" s="1"/>
  <c r="F20" i="2"/>
  <c r="F22" i="2" s="1"/>
  <c r="E20" i="2"/>
  <c r="D20" i="2"/>
  <c r="C20" i="2"/>
  <c r="G19" i="2"/>
  <c r="F19" i="2"/>
  <c r="E19" i="2"/>
  <c r="D19" i="2"/>
  <c r="C19" i="2"/>
  <c r="C22" i="2" s="1"/>
  <c r="B19" i="2"/>
  <c r="G15" i="2"/>
  <c r="G16" i="2" s="1"/>
  <c r="F15" i="2"/>
  <c r="E15" i="2"/>
  <c r="D15" i="2"/>
  <c r="C15" i="2"/>
  <c r="G14" i="2"/>
  <c r="F14" i="2"/>
  <c r="F16" i="2" s="1"/>
  <c r="E14" i="2"/>
  <c r="E16" i="2" s="1"/>
  <c r="D14" i="2"/>
  <c r="D16" i="2" s="1"/>
  <c r="C14" i="2"/>
  <c r="C16" i="2" s="1"/>
  <c r="B14" i="2"/>
  <c r="G10" i="2"/>
  <c r="G11" i="2" s="1"/>
  <c r="F10" i="2"/>
  <c r="E10" i="2"/>
  <c r="D10" i="2"/>
  <c r="C10" i="2"/>
  <c r="G9" i="2"/>
  <c r="F9" i="2"/>
  <c r="F11" i="2" s="1"/>
  <c r="E9" i="2"/>
  <c r="E11" i="2" s="1"/>
  <c r="D9" i="2"/>
  <c r="D11" i="2" s="1"/>
  <c r="C9" i="2"/>
  <c r="C11" i="2" s="1"/>
  <c r="B9" i="2"/>
  <c r="G5" i="2"/>
  <c r="G6" i="2" s="1"/>
  <c r="G36" i="2" s="1"/>
  <c r="F5" i="2"/>
  <c r="E5" i="2"/>
  <c r="D5" i="2"/>
  <c r="C5" i="2"/>
  <c r="G4" i="2"/>
  <c r="F4" i="2"/>
  <c r="F6" i="2" s="1"/>
  <c r="E4" i="2"/>
  <c r="E6" i="2" s="1"/>
  <c r="D4" i="2"/>
  <c r="D6" i="2" s="1"/>
  <c r="D36" i="2" s="1"/>
  <c r="C4" i="2"/>
  <c r="C6" i="2" s="1"/>
  <c r="C36" i="2" s="1"/>
  <c r="B4" i="2"/>
  <c r="G39" i="2" l="1"/>
  <c r="G4" i="3"/>
  <c r="G21" i="6"/>
  <c r="G25" i="6" s="1"/>
  <c r="G40" i="2"/>
  <c r="G42" i="2"/>
  <c r="G43" i="2"/>
  <c r="G44" i="2"/>
  <c r="G41" i="2"/>
  <c r="E36" i="2"/>
  <c r="F36" i="2"/>
  <c r="B7" i="5"/>
  <c r="C41" i="2"/>
  <c r="C44" i="2"/>
  <c r="C40" i="2"/>
  <c r="C39" i="2"/>
  <c r="C21" i="6"/>
  <c r="C25" i="6" s="1"/>
  <c r="C4" i="3"/>
  <c r="C42" i="2"/>
  <c r="C43" i="2"/>
  <c r="D44" i="2"/>
  <c r="D39" i="2"/>
  <c r="D43" i="2"/>
  <c r="D4" i="3"/>
  <c r="D42" i="2"/>
  <c r="D40" i="2"/>
  <c r="D21" i="6"/>
  <c r="D41" i="2"/>
  <c r="G22" i="6"/>
  <c r="C5" i="6"/>
  <c r="D5" i="6"/>
  <c r="B17" i="5" l="1"/>
  <c r="B20" i="5" s="1"/>
  <c r="C19" i="5" s="1"/>
  <c r="B4" i="6"/>
  <c r="B6" i="6" s="1"/>
  <c r="B10" i="6" s="1"/>
  <c r="C5" i="4"/>
  <c r="C17" i="3"/>
  <c r="C23" i="3" s="1"/>
  <c r="C12" i="3"/>
  <c r="C7" i="3"/>
  <c r="C11" i="3" s="1"/>
  <c r="C13" i="4" s="1"/>
  <c r="C16" i="4" s="1"/>
  <c r="F4" i="3"/>
  <c r="F42" i="2"/>
  <c r="F41" i="2"/>
  <c r="F44" i="2"/>
  <c r="F39" i="2"/>
  <c r="F21" i="6"/>
  <c r="F40" i="2"/>
  <c r="F43" i="2"/>
  <c r="G17" i="3"/>
  <c r="G23" i="3" s="1"/>
  <c r="G7" i="3"/>
  <c r="G11" i="3" s="1"/>
  <c r="G13" i="4" s="1"/>
  <c r="G16" i="4" s="1"/>
  <c r="G5" i="4"/>
  <c r="D22" i="6"/>
  <c r="D25" i="6"/>
  <c r="E39" i="2"/>
  <c r="E4" i="3"/>
  <c r="E42" i="2"/>
  <c r="E43" i="2"/>
  <c r="E21" i="6"/>
  <c r="E40" i="2"/>
  <c r="E44" i="2"/>
  <c r="E41" i="2"/>
  <c r="D7" i="3"/>
  <c r="D11" i="3" s="1"/>
  <c r="D13" i="4" s="1"/>
  <c r="D16" i="4" s="1"/>
  <c r="D5" i="4"/>
  <c r="D6" i="5" s="1"/>
  <c r="D13" i="3"/>
  <c r="D17" i="3"/>
  <c r="D23" i="3" s="1"/>
  <c r="D12" i="3"/>
  <c r="C22" i="6"/>
  <c r="E25" i="6" l="1"/>
  <c r="E22" i="6"/>
  <c r="F25" i="6"/>
  <c r="F22" i="6"/>
  <c r="C25" i="3"/>
  <c r="E5" i="4"/>
  <c r="E7" i="3"/>
  <c r="E11" i="3" s="1"/>
  <c r="E13" i="4" s="1"/>
  <c r="E16" i="4" s="1"/>
  <c r="E17" i="3"/>
  <c r="E23" i="3" s="1"/>
  <c r="E12" i="3"/>
  <c r="E25" i="3" s="1"/>
  <c r="E29" i="3" s="1"/>
  <c r="E31" i="3" s="1"/>
  <c r="G12" i="3"/>
  <c r="C13" i="3"/>
  <c r="C6" i="5"/>
  <c r="F17" i="3"/>
  <c r="F23" i="3" s="1"/>
  <c r="F5" i="4"/>
  <c r="G6" i="5" s="1"/>
  <c r="F7" i="3"/>
  <c r="F11" i="3" s="1"/>
  <c r="F13" i="4" s="1"/>
  <c r="F16" i="4" s="1"/>
  <c r="D25" i="3"/>
  <c r="E32" i="3" l="1"/>
  <c r="E33" i="3"/>
  <c r="E13" i="3"/>
  <c r="C29" i="3"/>
  <c r="C31" i="3" s="1"/>
  <c r="C26" i="3"/>
  <c r="F6" i="5"/>
  <c r="G25" i="3"/>
  <c r="G13" i="3"/>
  <c r="F12" i="3"/>
  <c r="E26" i="3"/>
  <c r="D29" i="3"/>
  <c r="D31" i="3" s="1"/>
  <c r="D26" i="3"/>
  <c r="E6" i="5"/>
  <c r="D32" i="3" l="1"/>
  <c r="D33" i="3" s="1"/>
  <c r="C33" i="3"/>
  <c r="C32" i="3"/>
  <c r="F25" i="3"/>
  <c r="F13" i="3"/>
  <c r="E4" i="5"/>
  <c r="E7" i="5" s="1"/>
  <c r="E34" i="3"/>
  <c r="B17" i="6"/>
  <c r="G29" i="3"/>
  <c r="G31" i="3" s="1"/>
  <c r="G26" i="3"/>
  <c r="D4" i="5" l="1"/>
  <c r="D7" i="5" s="1"/>
  <c r="D34" i="3"/>
  <c r="E4" i="6"/>
  <c r="E6" i="6" s="1"/>
  <c r="E10" i="6" s="1"/>
  <c r="E12" i="6" s="1"/>
  <c r="E17" i="5"/>
  <c r="F29" i="3"/>
  <c r="F31" i="3" s="1"/>
  <c r="F26" i="3"/>
  <c r="C20" i="4"/>
  <c r="C4" i="5"/>
  <c r="C7" i="5" s="1"/>
  <c r="C4" i="4"/>
  <c r="C34" i="3"/>
  <c r="G32" i="3"/>
  <c r="G33" i="3"/>
  <c r="C17" i="5" l="1"/>
  <c r="C20" i="5" s="1"/>
  <c r="D19" i="5" s="1"/>
  <c r="C4" i="6"/>
  <c r="C6" i="6" s="1"/>
  <c r="C10" i="6" s="1"/>
  <c r="C12" i="6" s="1"/>
  <c r="F32" i="3"/>
  <c r="F33" i="3" s="1"/>
  <c r="G4" i="5"/>
  <c r="G7" i="5" s="1"/>
  <c r="G34" i="3"/>
  <c r="C21" i="4"/>
  <c r="C23" i="4" s="1"/>
  <c r="D20" i="4"/>
  <c r="C7" i="4"/>
  <c r="C10" i="4" s="1"/>
  <c r="D4" i="4"/>
  <c r="D4" i="6"/>
  <c r="D6" i="6" s="1"/>
  <c r="D10" i="6" s="1"/>
  <c r="D12" i="6" s="1"/>
  <c r="D17" i="5"/>
  <c r="F4" i="5" l="1"/>
  <c r="F7" i="5" s="1"/>
  <c r="F34" i="3"/>
  <c r="D21" i="4"/>
  <c r="D23" i="4" s="1"/>
  <c r="E20" i="4"/>
  <c r="G4" i="6"/>
  <c r="G6" i="6" s="1"/>
  <c r="G10" i="6" s="1"/>
  <c r="G12" i="6" s="1"/>
  <c r="G17" i="5"/>
  <c r="D7" i="4"/>
  <c r="D10" i="4" s="1"/>
  <c r="D25" i="4" s="1"/>
  <c r="E4" i="4"/>
  <c r="C25" i="4"/>
  <c r="D20" i="5"/>
  <c r="E19" i="5" s="1"/>
  <c r="E20" i="5" s="1"/>
  <c r="F19" i="5" s="1"/>
  <c r="E21" i="4" l="1"/>
  <c r="E23" i="4" s="1"/>
  <c r="F20" i="4"/>
  <c r="E7" i="4"/>
  <c r="E10" i="4" s="1"/>
  <c r="E25" i="4" s="1"/>
  <c r="F4" i="4"/>
  <c r="F4" i="6"/>
  <c r="F6" i="6" s="1"/>
  <c r="F10" i="6" s="1"/>
  <c r="F12" i="6" s="1"/>
  <c r="B14" i="6" s="1"/>
  <c r="F17" i="5"/>
  <c r="F20" i="5" s="1"/>
  <c r="G19" i="5" s="1"/>
  <c r="G20" i="5" s="1"/>
  <c r="G4" i="4" l="1"/>
  <c r="G7" i="4" s="1"/>
  <c r="G10" i="4" s="1"/>
  <c r="G25" i="4" s="1"/>
  <c r="F7" i="4"/>
  <c r="F10" i="4" s="1"/>
  <c r="G20" i="4"/>
  <c r="G21" i="4" s="1"/>
  <c r="G23" i="4" s="1"/>
  <c r="F21" i="4"/>
  <c r="F23" i="4" s="1"/>
  <c r="F25" i="4" l="1"/>
</calcChain>
</file>

<file path=xl/sharedStrings.xml><?xml version="1.0" encoding="utf-8"?>
<sst xmlns="http://schemas.openxmlformats.org/spreadsheetml/2006/main" count="214" uniqueCount="174">
  <si>
    <t>AeroDesk — Key Assumptions</t>
  </si>
  <si>
    <t>Year 0 (Pre-Rev)</t>
  </si>
  <si>
    <t>Year 1</t>
  </si>
  <si>
    <t>Year 2</t>
  </si>
  <si>
    <t>Year 3</t>
  </si>
  <si>
    <t>Year 4</t>
  </si>
  <si>
    <t>Year 5</t>
  </si>
  <si>
    <t>Notes / Source</t>
  </si>
  <si>
    <t>MARKET ASSUMPTIONS</t>
  </si>
  <si>
    <t>Global Used Aircraft Market (USD B)</t>
  </si>
  <si>
    <t>MRFR 2025 base, 6.97% CAGR</t>
  </si>
  <si>
    <t>Market CAGR</t>
  </si>
  <si>
    <t>Brazil Executive Aircraft Fleet</t>
  </si>
  <si>
    <t>ANAC base 9,824 (2023) + 2.4% YoY</t>
  </si>
  <si>
    <t>Brazil Fleet Growth Rate</t>
  </si>
  <si>
    <t>Addressable Market - Online Aircraft Mktplace (USD M)</t>
  </si>
  <si>
    <t>~2% of total market = online marketplace TAM</t>
  </si>
  <si>
    <t>AERODESK MARKET SHARE</t>
  </si>
  <si>
    <t>AeroDesk Market Share (of online TAM)</t>
  </si>
  <si>
    <t>PLATFORM KPIs</t>
  </si>
  <si>
    <t>Active Dealer Subscribers</t>
  </si>
  <si>
    <t>Total Active Listings</t>
  </si>
  <si>
    <t>Monthly Unique Visitors</t>
  </si>
  <si>
    <t>Avg Listing Value (USD)</t>
  </si>
  <si>
    <t>Blended avg across all aircraft types</t>
  </si>
  <si>
    <t>Transactions Facilitated</t>
  </si>
  <si>
    <t>Closed via platform escrow/financing</t>
  </si>
  <si>
    <t>REVENUE ASSUMPTIONS</t>
  </si>
  <si>
    <t>Avg Dealer Subscription ($/mo)</t>
  </si>
  <si>
    <t>Blended Basic/Premium/Enterprise</t>
  </si>
  <si>
    <t>Featured Listing Fee (avg $/listing)</t>
  </si>
  <si>
    <t>Featured Listings Sold / Year</t>
  </si>
  <si>
    <t>Individual Listing Fee (avg $)</t>
  </si>
  <si>
    <t>Individual Listings Sold / Year</t>
  </si>
  <si>
    <t>Transaction Commission Rate</t>
  </si>
  <si>
    <t>Blended: escrow + financing referral</t>
  </si>
  <si>
    <t>Insurance Referral (per policy)</t>
  </si>
  <si>
    <t>Insurance Policies Referred</t>
  </si>
  <si>
    <t>Pre-Purchase Inspection Referral ($)</t>
  </si>
  <si>
    <t>PPI Referrals / Year</t>
  </si>
  <si>
    <t>Legal/Contract Support Referral ($)</t>
  </si>
  <si>
    <t>Legal Referrals / Year</t>
  </si>
  <si>
    <t>Data &amp; Analytics Subscribers</t>
  </si>
  <si>
    <t>Data Subscription Avg ($/mo)</t>
  </si>
  <si>
    <t>COST ASSUMPTIONS</t>
  </si>
  <si>
    <t>Headcount</t>
  </si>
  <si>
    <t>See SG&amp;A detail</t>
  </si>
  <si>
    <t>Avg Salary + Benefits ($/yr)</t>
  </si>
  <si>
    <t>Brazil-weighted, includes benefits</t>
  </si>
  <si>
    <t>Cloud Infra ($/mo)</t>
  </si>
  <si>
    <t>AWS/Vercel/CDN</t>
  </si>
  <si>
    <t>Marketing as % of Revenue</t>
  </si>
  <si>
    <t>Declining as organic grows</t>
  </si>
  <si>
    <t>Tax Rate</t>
  </si>
  <si>
    <t>Simples Nacional / presumido</t>
  </si>
  <si>
    <t>Depreciation (% of PP&amp;E)</t>
  </si>
  <si>
    <t>5-year straight line</t>
  </si>
  <si>
    <t>Capex (USD)</t>
  </si>
  <si>
    <t>Tech + office</t>
  </si>
  <si>
    <t>Initial Equity Investment</t>
  </si>
  <si>
    <t>Seed round</t>
  </si>
  <si>
    <t>AeroDesk — Revenue Build-Up (USD)</t>
  </si>
  <si>
    <t>1. DEALER SUBSCRIPTIONS</t>
  </si>
  <si>
    <t>Avg Monthly Fee ($)</t>
  </si>
  <si>
    <t>Dealer Subscription Revenue</t>
  </si>
  <si>
    <t>2. FEATURED LISTINGS</t>
  </si>
  <si>
    <t>Featured Listings Sold</t>
  </si>
  <si>
    <t>Avg Fee per Featured Listing</t>
  </si>
  <si>
    <t>Featured Listing Revenue</t>
  </si>
  <si>
    <t>3. INDIVIDUAL LISTINGS</t>
  </si>
  <si>
    <t>Individual Listings Sold</t>
  </si>
  <si>
    <t>Avg Fee per Listing</t>
  </si>
  <si>
    <t>Individual Listing Revenue</t>
  </si>
  <si>
    <t>4. TRANSACTION COMMISSIONS</t>
  </si>
  <si>
    <t>Avg Listing Value</t>
  </si>
  <si>
    <t>Commission Rate</t>
  </si>
  <si>
    <t>Transaction Commission Revenue</t>
  </si>
  <si>
    <t>5. ANCILLARY SERVICES (Insurance, PPI, Legal, Interior)</t>
  </si>
  <si>
    <t>Insurance Referral Revenue</t>
  </si>
  <si>
    <t>Pre-Purchase Inspection Referral Revenue</t>
  </si>
  <si>
    <t>Legal/Contract Support Referral Revenue</t>
  </si>
  <si>
    <t>Total Ancillary Services Revenue</t>
  </si>
  <si>
    <t>6. DATA &amp; ANALYTICS</t>
  </si>
  <si>
    <t>Data Subscribers</t>
  </si>
  <si>
    <t>Avg Monthly Fee</t>
  </si>
  <si>
    <t>Data &amp; Analytics Revenue</t>
  </si>
  <si>
    <t>TOTAL REVENUE</t>
  </si>
  <si>
    <t>Revenue Mix (%)</t>
  </si>
  <si>
    <t>Dealer Subscriptions %</t>
  </si>
  <si>
    <t>Featured Listings %</t>
  </si>
  <si>
    <t>Individual Listings %</t>
  </si>
  <si>
    <t>Transaction Commissions %</t>
  </si>
  <si>
    <t>Ancillary Services %</t>
  </si>
  <si>
    <t>Data &amp; Analytics %</t>
  </si>
  <si>
    <t>AeroDesk — Income Statement (USD)</t>
  </si>
  <si>
    <t>REVENUE</t>
  </si>
  <si>
    <t>Total Revenue</t>
  </si>
  <si>
    <t>COST OF GOODS SOLD (COGS)</t>
  </si>
  <si>
    <t>Payment Processing (2.5% of Revenue)</t>
  </si>
  <si>
    <t>Cloud Infrastructure &amp; Hosting</t>
  </si>
  <si>
    <t>Data Licensing &amp; 3rd Party APIs</t>
  </si>
  <si>
    <t>Customer Support (Outsourced)</t>
  </si>
  <si>
    <t>Total COGS</t>
  </si>
  <si>
    <t>Gross Profit</t>
  </si>
  <si>
    <t>Gross Margin %</t>
  </si>
  <si>
    <t>SG&amp;A EXPENSES</t>
  </si>
  <si>
    <t>Salaries &amp; Benefits</t>
  </si>
  <si>
    <t>Marketing &amp; Customer Acquisition</t>
  </si>
  <si>
    <t>Office &amp; Co-working</t>
  </si>
  <si>
    <t>Professional Services (Legal, Accounting)</t>
  </si>
  <si>
    <t>Software &amp; Tools (SaaS)</t>
  </si>
  <si>
    <t>Travel &amp; Events (LABACE, conferences)</t>
  </si>
  <si>
    <t>D&amp;O Insurance</t>
  </si>
  <si>
    <t>Total SG&amp;A</t>
  </si>
  <si>
    <t>EBITDA</t>
  </si>
  <si>
    <t>EBITDA Margin %</t>
  </si>
  <si>
    <t>Depreciation &amp; Amortization</t>
  </si>
  <si>
    <t>EBIT</t>
  </si>
  <si>
    <t>Interest Expense</t>
  </si>
  <si>
    <t>EBT (Earnings Before Tax)</t>
  </si>
  <si>
    <t>Income Tax</t>
  </si>
  <si>
    <t>NET INCOME</t>
  </si>
  <si>
    <t>Net Margin %</t>
  </si>
  <si>
    <t>AeroDesk — Balance Sheet (USD)</t>
  </si>
  <si>
    <t>ASSETS</t>
  </si>
  <si>
    <t>Cash &amp; Cash Equivalents</t>
  </si>
  <si>
    <t>Accounts Receivable</t>
  </si>
  <si>
    <t>Prepaid Expenses</t>
  </si>
  <si>
    <t>Total Current Assets</t>
  </si>
  <si>
    <t>PP&amp;E (Net)</t>
  </si>
  <si>
    <t>TOTAL ASSETS</t>
  </si>
  <si>
    <t>LIABILITIES</t>
  </si>
  <si>
    <t>Accounts Payable</t>
  </si>
  <si>
    <t>Deferred Revenue</t>
  </si>
  <si>
    <t>Accrued Expenses</t>
  </si>
  <si>
    <t>Total Liabilities</t>
  </si>
  <si>
    <t>EQUITY</t>
  </si>
  <si>
    <t>Paid-in Capital</t>
  </si>
  <si>
    <t>Retained Earnings</t>
  </si>
  <si>
    <t>Total Equity</t>
  </si>
  <si>
    <t>TOTAL LIABILITIES + EQUITY</t>
  </si>
  <si>
    <t>Balance Check (Assets - L&amp;E)</t>
  </si>
  <si>
    <t>AeroDesk — Cash Flow Statement (USD)</t>
  </si>
  <si>
    <t>CASH FLOW FROM OPERATIONS</t>
  </si>
  <si>
    <t>Net Income</t>
  </si>
  <si>
    <t>(+) Depreciation &amp; Amortization</t>
  </si>
  <si>
    <t>Changes in Working Capital</t>
  </si>
  <si>
    <t>Net Cash from Operations</t>
  </si>
  <si>
    <t>CASH FLOW FROM INVESTING</t>
  </si>
  <si>
    <t>Capital Expenditures</t>
  </si>
  <si>
    <t>Net Cash from Investing</t>
  </si>
  <si>
    <t>CASH FLOW FROM FINANCING</t>
  </si>
  <si>
    <t>Equity Investment</t>
  </si>
  <si>
    <t>Net Cash from Financing</t>
  </si>
  <si>
    <t>NET CHANGE IN CASH</t>
  </si>
  <si>
    <t>Beginning Cash</t>
  </si>
  <si>
    <t>Ending Cash</t>
  </si>
  <si>
    <t>AeroDesk — IRR &amp; Return Analysis</t>
  </si>
  <si>
    <t>FREE CASH FLOW TO EQUITY</t>
  </si>
  <si>
    <t>Free Cash Flow (FCFE)</t>
  </si>
  <si>
    <t>INVESTOR RETURN ANALYSIS</t>
  </si>
  <si>
    <t>Initial Investment (outflow)</t>
  </si>
  <si>
    <t>Cash Flows (FCFE)</t>
  </si>
  <si>
    <t>Terminal Value (10x Y5 EBITDA)</t>
  </si>
  <si>
    <t>Total Cash Flow to Investor</t>
  </si>
  <si>
    <t>IRR (Internal Rate of Return)</t>
  </si>
  <si>
    <t>Exit Multiple Applied</t>
  </si>
  <si>
    <t>Terminal Value / Investment Multiple</t>
  </si>
  <si>
    <t>MARKET SHARE EVOLUTION</t>
  </si>
  <si>
    <t>Online Aircraft Marketplace TAM (USD M)</t>
  </si>
  <si>
    <t>AeroDesk Revenue (USD M)</t>
  </si>
  <si>
    <t>Market Share of Online TAM</t>
  </si>
  <si>
    <t>Controller.com Est. Revenue (USD M)</t>
  </si>
  <si>
    <t>AeroDesk as % of Controller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</si>
</sst>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"/>
    <numFmt numFmtId="166" formatCode="0.0\x"/>
    <numFmt numFmtId="167" formatCode="0.000%"/>
    <numFmt numFmtId="168" formatCode="0.0"/>
  </numFmts>
  <fonts count="13" x14ac:knownFonts="1">
    <font>
      <sz val="11"/>
      <color theme="1"/>
      <name val="Calibri"/>
      <family val="2"/>
      <charset val="1"/>
    </font>
    <font>
      <b/>
      <sz val="14"/>
      <color rgb="FF1B2A4A"/>
      <name val="Arial"/>
      <charset val="1"/>
    </font>
    <font>
      <b/>
      <sz val="10"/>
      <color rgb="FFFFFFFF"/>
      <name val="Arial"/>
      <charset val="1"/>
    </font>
    <font>
      <b/>
      <sz val="11"/>
      <color rgb="FF1B2A4A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theme="1"/>
      <name val="Arial"/>
      <charset val="1"/>
    </font>
    <font>
      <b/>
      <sz val="10"/>
      <color rgb="FF1B2A4A"/>
      <name val="Arial"/>
      <charset val="1"/>
    </font>
    <font>
      <b/>
      <sz val="10"/>
      <color rgb="FF008000"/>
      <name val="Arial"/>
      <charset val="1"/>
    </font>
    <font>
      <sz val="10"/>
      <color rgb="FFCC0000"/>
      <name val="Arial"/>
      <charset val="1"/>
    </font>
    <font>
      <b/>
      <sz val="12"/>
      <color rgb="FF1B2A4A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0F7"/>
        <bgColor rgb="FFD5E8F0"/>
      </patternFill>
    </fill>
    <fill>
      <patternFill patternType="solid">
        <fgColor rgb="FFFFFF00"/>
        <bgColor rgb="FFFFFF00"/>
      </patternFill>
    </fill>
    <fill>
      <patternFill patternType="solid">
        <fgColor rgb="FFD5E8F0"/>
        <bgColor rgb="FFEBF0F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double">
        <color rgb="FF1B2A4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0" fillId="0" borderId="1" xfId="0" applyBorder="1"/>
    <xf numFmtId="3" fontId="5" fillId="0" borderId="1" xfId="0" applyNumberFormat="1" applyFont="1" applyBorder="1"/>
    <xf numFmtId="164" fontId="5" fillId="0" borderId="1" xfId="0" applyNumberFormat="1" applyFont="1" applyBorder="1"/>
    <xf numFmtId="0" fontId="4" fillId="0" borderId="0" xfId="0" applyFont="1"/>
    <xf numFmtId="164" fontId="5" fillId="0" borderId="0" xfId="0" applyNumberFormat="1" applyFont="1"/>
    <xf numFmtId="0" fontId="6" fillId="0" borderId="0" xfId="0" applyFont="1"/>
    <xf numFmtId="10" fontId="5" fillId="4" borderId="0" xfId="0" applyNumberFormat="1" applyFont="1" applyFill="1"/>
    <xf numFmtId="165" fontId="5" fillId="0" borderId="1" xfId="0" applyNumberFormat="1" applyFont="1" applyBorder="1"/>
    <xf numFmtId="0" fontId="7" fillId="0" borderId="0" xfId="0" applyFont="1"/>
    <xf numFmtId="3" fontId="7" fillId="0" borderId="0" xfId="0" applyNumberFormat="1" applyFont="1"/>
    <xf numFmtId="165" fontId="7" fillId="0" borderId="0" xfId="0" applyNumberFormat="1" applyFont="1"/>
    <xf numFmtId="0" fontId="6" fillId="5" borderId="1" xfId="0" applyFont="1" applyFill="1" applyBorder="1"/>
    <xf numFmtId="165" fontId="8" fillId="5" borderId="1" xfId="0" applyNumberFormat="1" applyFont="1" applyFill="1" applyBorder="1"/>
    <xf numFmtId="165" fontId="6" fillId="5" borderId="1" xfId="0" applyNumberFormat="1" applyFont="1" applyFill="1" applyBorder="1"/>
    <xf numFmtId="164" fontId="7" fillId="0" borderId="0" xfId="0" applyNumberFormat="1" applyFont="1"/>
    <xf numFmtId="165" fontId="0" fillId="0" borderId="0" xfId="0" applyNumberFormat="1"/>
    <xf numFmtId="165" fontId="4" fillId="0" borderId="0" xfId="0" applyNumberFormat="1" applyFont="1"/>
    <xf numFmtId="0" fontId="9" fillId="5" borderId="2" xfId="0" applyFont="1" applyFill="1" applyBorder="1"/>
    <xf numFmtId="165" fontId="8" fillId="5" borderId="2" xfId="0" applyNumberFormat="1" applyFont="1" applyFill="1" applyBorder="1"/>
    <xf numFmtId="165" fontId="9" fillId="5" borderId="2" xfId="0" applyNumberFormat="1" applyFont="1" applyFill="1" applyBorder="1"/>
    <xf numFmtId="0" fontId="3" fillId="0" borderId="0" xfId="0" applyFont="1"/>
    <xf numFmtId="164" fontId="0" fillId="0" borderId="0" xfId="0" applyNumberFormat="1"/>
    <xf numFmtId="0" fontId="10" fillId="5" borderId="1" xfId="0" applyFont="1" applyFill="1" applyBorder="1"/>
    <xf numFmtId="165" fontId="10" fillId="5" borderId="1" xfId="0" applyNumberFormat="1" applyFont="1" applyFill="1" applyBorder="1"/>
    <xf numFmtId="165" fontId="5" fillId="0" borderId="0" xfId="0" applyNumberFormat="1" applyFont="1"/>
    <xf numFmtId="0" fontId="6" fillId="0" borderId="2" xfId="0" applyFont="1" applyBorder="1"/>
    <xf numFmtId="165" fontId="6" fillId="0" borderId="2" xfId="0" applyNumberFormat="1" applyFont="1" applyBorder="1"/>
    <xf numFmtId="0" fontId="9" fillId="5" borderId="1" xfId="0" applyFont="1" applyFill="1" applyBorder="1"/>
    <xf numFmtId="165" fontId="9" fillId="5" borderId="1" xfId="0" applyNumberFormat="1" applyFont="1" applyFill="1" applyBorder="1"/>
    <xf numFmtId="165" fontId="6" fillId="0" borderId="0" xfId="0" applyNumberFormat="1" applyFont="1"/>
    <xf numFmtId="0" fontId="11" fillId="0" borderId="0" xfId="0" applyFont="1"/>
    <xf numFmtId="165" fontId="11" fillId="0" borderId="0" xfId="0" applyNumberFormat="1" applyFont="1"/>
    <xf numFmtId="0" fontId="6" fillId="5" borderId="2" xfId="0" applyFont="1" applyFill="1" applyBorder="1"/>
    <xf numFmtId="165" fontId="6" fillId="5" borderId="2" xfId="0" applyNumberFormat="1" applyFont="1" applyFill="1" applyBorder="1"/>
    <xf numFmtId="0" fontId="12" fillId="0" borderId="0" xfId="0" applyFont="1"/>
    <xf numFmtId="164" fontId="12" fillId="4" borderId="0" xfId="0" applyNumberFormat="1" applyFont="1" applyFill="1"/>
    <xf numFmtId="166" fontId="5" fillId="4" borderId="0" xfId="0" applyNumberFormat="1" applyFont="1" applyFill="1"/>
    <xf numFmtId="166" fontId="0" fillId="0" borderId="0" xfId="0" applyNumberFormat="1"/>
    <xf numFmtId="2" fontId="0" fillId="0" borderId="0" xfId="0" applyNumberFormat="1"/>
    <xf numFmtId="0" fontId="6" fillId="4" borderId="1" xfId="0" applyFont="1" applyFill="1" applyBorder="1"/>
    <xf numFmtId="0" fontId="8" fillId="4" borderId="1" xfId="0" applyFont="1" applyFill="1" applyBorder="1"/>
    <xf numFmtId="167" fontId="6" fillId="4" borderId="1" xfId="0" applyNumberFormat="1" applyFont="1" applyFill="1" applyBorder="1"/>
    <xf numFmtId="168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7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339966"/>
      <rgbColor rgb="FF0064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44"/>
  <sheetViews>
    <sheetView topLeftCell="A20" zoomScaleNormal="100" workbookViewId="0">
      <selection activeCell="A21" sqref="A21"/>
    </sheetView>
  </sheetViews>
  <sheetFormatPr defaultColWidth="8.6328125" defaultRowHeight="14.5" x14ac:dyDescent="0.35"/>
  <cols>
    <col min="1" max="1" width="38" customWidth="1"/>
    <col min="2" max="7" width="18" customWidth="1"/>
    <col min="8" max="8" width="30" customWidth="1"/>
  </cols>
  <sheetData>
    <row r="1" spans="1:8" ht="18" x14ac:dyDescent="0.4">
      <c r="A1" s="1" t="s">
        <v>0</v>
      </c>
    </row>
    <row r="2" spans="1:8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5">
      <c r="A3" s="3" t="s">
        <v>8</v>
      </c>
      <c r="B3" s="4"/>
      <c r="C3" s="4"/>
      <c r="D3" s="4"/>
      <c r="E3" s="4"/>
      <c r="F3" s="4"/>
      <c r="G3" s="4"/>
      <c r="H3" s="4"/>
    </row>
    <row r="4" spans="1:8" x14ac:dyDescent="0.35">
      <c r="A4" s="5" t="s">
        <v>9</v>
      </c>
      <c r="B4" s="6"/>
      <c r="C4" s="7">
        <v>40.07</v>
      </c>
      <c r="D4" s="7">
        <v>42.86</v>
      </c>
      <c r="E4" s="7">
        <v>45.85</v>
      </c>
      <c r="F4" s="7">
        <v>49.05</v>
      </c>
      <c r="G4" s="7">
        <v>52.47</v>
      </c>
      <c r="H4" s="5" t="s">
        <v>10</v>
      </c>
    </row>
    <row r="5" spans="1:8" x14ac:dyDescent="0.35">
      <c r="A5" s="5" t="s">
        <v>11</v>
      </c>
      <c r="B5" s="5"/>
      <c r="C5" s="8">
        <v>6.9699999999999998E-2</v>
      </c>
      <c r="D5" s="8">
        <v>6.9699999999999998E-2</v>
      </c>
      <c r="E5" s="8">
        <v>6.9699999999999998E-2</v>
      </c>
      <c r="F5" s="8">
        <v>6.9699999999999998E-2</v>
      </c>
      <c r="G5" s="8">
        <v>6.9699999999999998E-2</v>
      </c>
      <c r="H5" s="5"/>
    </row>
    <row r="6" spans="1:8" x14ac:dyDescent="0.35">
      <c r="A6" s="5" t="s">
        <v>12</v>
      </c>
      <c r="B6" s="6"/>
      <c r="C6" s="7">
        <v>10060</v>
      </c>
      <c r="D6" s="7">
        <v>10301</v>
      </c>
      <c r="E6" s="7">
        <v>10549</v>
      </c>
      <c r="F6" s="7">
        <v>10803</v>
      </c>
      <c r="G6" s="7">
        <v>11063</v>
      </c>
      <c r="H6" s="5" t="s">
        <v>13</v>
      </c>
    </row>
    <row r="7" spans="1:8" x14ac:dyDescent="0.35">
      <c r="A7" s="9" t="s">
        <v>14</v>
      </c>
      <c r="C7" s="10">
        <v>2.4E-2</v>
      </c>
      <c r="D7" s="10">
        <v>2.4E-2</v>
      </c>
      <c r="E7" s="10">
        <v>2.4E-2</v>
      </c>
      <c r="F7" s="10">
        <v>2.4E-2</v>
      </c>
      <c r="G7" s="10">
        <v>2.4E-2</v>
      </c>
    </row>
    <row r="8" spans="1:8" x14ac:dyDescent="0.35">
      <c r="A8" s="5" t="s">
        <v>15</v>
      </c>
      <c r="B8" s="6"/>
      <c r="C8" s="7">
        <v>800</v>
      </c>
      <c r="D8" s="7">
        <v>920</v>
      </c>
      <c r="E8" s="7">
        <v>1058</v>
      </c>
      <c r="F8" s="7">
        <v>1217</v>
      </c>
      <c r="G8" s="7">
        <v>1400</v>
      </c>
      <c r="H8" s="5" t="s">
        <v>16</v>
      </c>
    </row>
    <row r="10" spans="1:8" x14ac:dyDescent="0.35">
      <c r="A10" s="3" t="s">
        <v>17</v>
      </c>
      <c r="B10" s="4"/>
      <c r="C10" s="4"/>
      <c r="D10" s="4"/>
      <c r="E10" s="4"/>
      <c r="F10" s="4"/>
      <c r="G10" s="4"/>
      <c r="H10" s="4"/>
    </row>
    <row r="11" spans="1:8" x14ac:dyDescent="0.35">
      <c r="A11" s="11" t="s">
        <v>18</v>
      </c>
      <c r="B11" s="12">
        <v>0</v>
      </c>
      <c r="C11" s="12">
        <v>2.9999999999999997E-4</v>
      </c>
      <c r="D11" s="12">
        <v>1.4E-3</v>
      </c>
      <c r="E11" s="12">
        <v>3.8E-3</v>
      </c>
      <c r="F11" s="12">
        <v>7.4999999999999997E-3</v>
      </c>
      <c r="G11" s="12">
        <v>1.2999999999999999E-2</v>
      </c>
    </row>
    <row r="13" spans="1:8" x14ac:dyDescent="0.35">
      <c r="A13" s="3" t="s">
        <v>19</v>
      </c>
      <c r="B13" s="4"/>
      <c r="C13" s="4"/>
      <c r="D13" s="4"/>
      <c r="E13" s="4"/>
      <c r="F13" s="4"/>
      <c r="G13" s="4"/>
      <c r="H13" s="4"/>
    </row>
    <row r="14" spans="1:8" x14ac:dyDescent="0.35">
      <c r="A14" s="5" t="s">
        <v>20</v>
      </c>
      <c r="B14" s="7">
        <v>0</v>
      </c>
      <c r="C14" s="7">
        <v>40</v>
      </c>
      <c r="D14" s="7">
        <v>150</v>
      </c>
      <c r="E14" s="7">
        <v>380</v>
      </c>
      <c r="F14" s="7">
        <v>650</v>
      </c>
      <c r="G14" s="7">
        <v>1000</v>
      </c>
      <c r="H14" s="5"/>
    </row>
    <row r="15" spans="1:8" x14ac:dyDescent="0.35">
      <c r="A15" s="5" t="s">
        <v>21</v>
      </c>
      <c r="B15" s="7">
        <v>0</v>
      </c>
      <c r="C15" s="7">
        <v>600</v>
      </c>
      <c r="D15" s="7">
        <v>2200</v>
      </c>
      <c r="E15" s="7">
        <v>5500</v>
      </c>
      <c r="F15" s="7">
        <v>10000</v>
      </c>
      <c r="G15" s="7">
        <v>18000</v>
      </c>
      <c r="H15" s="5"/>
    </row>
    <row r="16" spans="1:8" x14ac:dyDescent="0.35">
      <c r="A16" s="5" t="s">
        <v>22</v>
      </c>
      <c r="B16" s="7">
        <v>0</v>
      </c>
      <c r="C16" s="7">
        <v>25000</v>
      </c>
      <c r="D16" s="7">
        <v>120000</v>
      </c>
      <c r="E16" s="7">
        <v>400000</v>
      </c>
      <c r="F16" s="7">
        <v>800000</v>
      </c>
      <c r="G16" s="7">
        <v>1500000</v>
      </c>
      <c r="H16" s="5"/>
    </row>
    <row r="17" spans="1:8" x14ac:dyDescent="0.35">
      <c r="A17" s="5" t="s">
        <v>23</v>
      </c>
      <c r="B17" s="6"/>
      <c r="C17" s="13">
        <v>850000</v>
      </c>
      <c r="D17" s="13">
        <v>900000</v>
      </c>
      <c r="E17" s="13">
        <v>950000</v>
      </c>
      <c r="F17" s="13">
        <v>1000000</v>
      </c>
      <c r="G17" s="13">
        <v>1050000</v>
      </c>
      <c r="H17" s="5" t="s">
        <v>24</v>
      </c>
    </row>
    <row r="18" spans="1:8" x14ac:dyDescent="0.35">
      <c r="A18" s="5" t="s">
        <v>25</v>
      </c>
      <c r="B18" s="7">
        <v>0</v>
      </c>
      <c r="C18" s="7">
        <v>15</v>
      </c>
      <c r="D18" s="7">
        <v>80</v>
      </c>
      <c r="E18" s="7">
        <v>250</v>
      </c>
      <c r="F18" s="7">
        <v>550</v>
      </c>
      <c r="G18" s="7">
        <v>1100</v>
      </c>
      <c r="H18" s="5" t="s">
        <v>26</v>
      </c>
    </row>
    <row r="20" spans="1:8" x14ac:dyDescent="0.35">
      <c r="A20" s="3" t="s">
        <v>27</v>
      </c>
      <c r="B20" s="4"/>
      <c r="C20" s="4"/>
      <c r="D20" s="4"/>
      <c r="E20" s="4"/>
      <c r="F20" s="4"/>
      <c r="G20" s="4"/>
      <c r="H20" s="4"/>
    </row>
    <row r="21" spans="1:8" x14ac:dyDescent="0.35">
      <c r="A21" s="5" t="s">
        <v>28</v>
      </c>
      <c r="B21" s="6"/>
      <c r="C21" s="13">
        <v>180</v>
      </c>
      <c r="D21" s="13">
        <v>220</v>
      </c>
      <c r="E21" s="13">
        <v>260</v>
      </c>
      <c r="F21" s="13">
        <v>300</v>
      </c>
      <c r="G21" s="13">
        <v>340</v>
      </c>
      <c r="H21" s="5" t="s">
        <v>29</v>
      </c>
    </row>
    <row r="22" spans="1:8" x14ac:dyDescent="0.35">
      <c r="A22" s="5" t="s">
        <v>30</v>
      </c>
      <c r="B22" s="6"/>
      <c r="C22" s="13">
        <v>350</v>
      </c>
      <c r="D22" s="13">
        <v>400</v>
      </c>
      <c r="E22" s="13">
        <v>450</v>
      </c>
      <c r="F22" s="13">
        <v>500</v>
      </c>
      <c r="G22" s="13">
        <v>550</v>
      </c>
      <c r="H22" s="5"/>
    </row>
    <row r="23" spans="1:8" x14ac:dyDescent="0.35">
      <c r="A23" s="5" t="s">
        <v>31</v>
      </c>
      <c r="B23" s="7"/>
      <c r="C23" s="7">
        <v>120</v>
      </c>
      <c r="D23" s="7">
        <v>450</v>
      </c>
      <c r="E23" s="7">
        <v>1100</v>
      </c>
      <c r="F23" s="7">
        <v>2000</v>
      </c>
      <c r="G23" s="7">
        <v>3500</v>
      </c>
      <c r="H23" s="5"/>
    </row>
    <row r="24" spans="1:8" x14ac:dyDescent="0.35">
      <c r="A24" s="5" t="s">
        <v>32</v>
      </c>
      <c r="B24" s="6"/>
      <c r="C24" s="13">
        <v>80</v>
      </c>
      <c r="D24" s="13">
        <v>90</v>
      </c>
      <c r="E24" s="13">
        <v>100</v>
      </c>
      <c r="F24" s="13">
        <v>110</v>
      </c>
      <c r="G24" s="13">
        <v>120</v>
      </c>
      <c r="H24" s="5"/>
    </row>
    <row r="25" spans="1:8" x14ac:dyDescent="0.35">
      <c r="A25" s="5" t="s">
        <v>33</v>
      </c>
      <c r="B25" s="7"/>
      <c r="C25" s="7">
        <v>200</v>
      </c>
      <c r="D25" s="7">
        <v>800</v>
      </c>
      <c r="E25" s="7">
        <v>2000</v>
      </c>
      <c r="F25" s="7">
        <v>4000</v>
      </c>
      <c r="G25" s="7">
        <v>7000</v>
      </c>
      <c r="H25" s="5"/>
    </row>
    <row r="26" spans="1:8" x14ac:dyDescent="0.35">
      <c r="A26" s="5" t="s">
        <v>34</v>
      </c>
      <c r="B26" s="6"/>
      <c r="C26" s="8">
        <v>5.0000000000000001E-3</v>
      </c>
      <c r="D26" s="8">
        <v>8.0000000000000002E-3</v>
      </c>
      <c r="E26" s="8">
        <v>0.01</v>
      </c>
      <c r="F26" s="8">
        <v>1.2E-2</v>
      </c>
      <c r="G26" s="8">
        <v>1.4999999999999999E-2</v>
      </c>
      <c r="H26" s="5" t="s">
        <v>35</v>
      </c>
    </row>
    <row r="27" spans="1:8" x14ac:dyDescent="0.35">
      <c r="A27" s="5" t="s">
        <v>36</v>
      </c>
      <c r="B27" s="6"/>
      <c r="C27" s="13">
        <v>500</v>
      </c>
      <c r="D27" s="13">
        <v>600</v>
      </c>
      <c r="E27" s="13">
        <v>700</v>
      </c>
      <c r="F27" s="13">
        <v>750</v>
      </c>
      <c r="G27" s="13">
        <v>800</v>
      </c>
      <c r="H27" s="5"/>
    </row>
    <row r="28" spans="1:8" x14ac:dyDescent="0.35">
      <c r="A28" s="5" t="s">
        <v>37</v>
      </c>
      <c r="B28" s="7">
        <v>0</v>
      </c>
      <c r="C28" s="7">
        <v>10</v>
      </c>
      <c r="D28" s="7">
        <v>50</v>
      </c>
      <c r="E28" s="7">
        <v>180</v>
      </c>
      <c r="F28" s="7">
        <v>400</v>
      </c>
      <c r="G28" s="7">
        <v>800</v>
      </c>
      <c r="H28" s="5"/>
    </row>
    <row r="29" spans="1:8" x14ac:dyDescent="0.35">
      <c r="A29" s="5" t="s">
        <v>38</v>
      </c>
      <c r="B29" s="6"/>
      <c r="C29" s="13">
        <v>800</v>
      </c>
      <c r="D29" s="13">
        <v>900</v>
      </c>
      <c r="E29" s="13">
        <v>1000</v>
      </c>
      <c r="F29" s="13">
        <v>1000</v>
      </c>
      <c r="G29" s="13">
        <v>1000</v>
      </c>
      <c r="H29" s="5"/>
    </row>
    <row r="30" spans="1:8" x14ac:dyDescent="0.35">
      <c r="A30" s="5" t="s">
        <v>39</v>
      </c>
      <c r="B30" s="7">
        <v>0</v>
      </c>
      <c r="C30" s="7">
        <v>10</v>
      </c>
      <c r="D30" s="7">
        <v>60</v>
      </c>
      <c r="E30" s="7">
        <v>200</v>
      </c>
      <c r="F30" s="7">
        <v>450</v>
      </c>
      <c r="G30" s="7">
        <v>900</v>
      </c>
      <c r="H30" s="5"/>
    </row>
    <row r="31" spans="1:8" x14ac:dyDescent="0.35">
      <c r="A31" s="5" t="s">
        <v>40</v>
      </c>
      <c r="B31" s="6"/>
      <c r="C31" s="13">
        <v>400</v>
      </c>
      <c r="D31" s="13">
        <v>500</v>
      </c>
      <c r="E31" s="13">
        <v>600</v>
      </c>
      <c r="F31" s="13">
        <v>650</v>
      </c>
      <c r="G31" s="13">
        <v>700</v>
      </c>
      <c r="H31" s="5"/>
    </row>
    <row r="32" spans="1:8" x14ac:dyDescent="0.35">
      <c r="A32" s="5" t="s">
        <v>41</v>
      </c>
      <c r="B32" s="7">
        <v>0</v>
      </c>
      <c r="C32" s="7">
        <v>8</v>
      </c>
      <c r="D32" s="7">
        <v>45</v>
      </c>
      <c r="E32" s="7">
        <v>150</v>
      </c>
      <c r="F32" s="7">
        <v>350</v>
      </c>
      <c r="G32" s="7">
        <v>700</v>
      </c>
      <c r="H32" s="5"/>
    </row>
    <row r="33" spans="1:8" x14ac:dyDescent="0.35">
      <c r="A33" s="5" t="s">
        <v>42</v>
      </c>
      <c r="B33" s="7">
        <v>0</v>
      </c>
      <c r="C33" s="7">
        <v>10</v>
      </c>
      <c r="D33" s="7">
        <v>40</v>
      </c>
      <c r="E33" s="7">
        <v>100</v>
      </c>
      <c r="F33" s="7">
        <v>200</v>
      </c>
      <c r="G33" s="7">
        <v>350</v>
      </c>
      <c r="H33" s="5"/>
    </row>
    <row r="34" spans="1:8" x14ac:dyDescent="0.35">
      <c r="A34" s="5" t="s">
        <v>43</v>
      </c>
      <c r="B34" s="6"/>
      <c r="C34" s="13">
        <v>250</v>
      </c>
      <c r="D34" s="13">
        <v>300</v>
      </c>
      <c r="E34" s="13">
        <v>350</v>
      </c>
      <c r="F34" s="13">
        <v>400</v>
      </c>
      <c r="G34" s="13">
        <v>450</v>
      </c>
      <c r="H34" s="5"/>
    </row>
    <row r="36" spans="1:8" x14ac:dyDescent="0.35">
      <c r="A36" s="3" t="s">
        <v>44</v>
      </c>
      <c r="B36" s="4"/>
      <c r="C36" s="4"/>
      <c r="D36" s="4"/>
      <c r="E36" s="4"/>
      <c r="F36" s="4"/>
      <c r="G36" s="4"/>
      <c r="H36" s="4"/>
    </row>
    <row r="37" spans="1:8" x14ac:dyDescent="0.35">
      <c r="A37" s="5" t="s">
        <v>45</v>
      </c>
      <c r="B37" s="7">
        <v>2</v>
      </c>
      <c r="C37" s="7">
        <v>8</v>
      </c>
      <c r="D37" s="7">
        <v>14</v>
      </c>
      <c r="E37" s="7">
        <v>22</v>
      </c>
      <c r="F37" s="7">
        <v>32</v>
      </c>
      <c r="G37" s="7">
        <v>45</v>
      </c>
      <c r="H37" s="5" t="s">
        <v>46</v>
      </c>
    </row>
    <row r="38" spans="1:8" x14ac:dyDescent="0.35">
      <c r="A38" s="5" t="s">
        <v>47</v>
      </c>
      <c r="B38" s="6"/>
      <c r="C38" s="13">
        <v>60000</v>
      </c>
      <c r="D38" s="13">
        <v>65000</v>
      </c>
      <c r="E38" s="13">
        <v>70000</v>
      </c>
      <c r="F38" s="13">
        <v>75000</v>
      </c>
      <c r="G38" s="13">
        <v>80000</v>
      </c>
      <c r="H38" s="5" t="s">
        <v>48</v>
      </c>
    </row>
    <row r="39" spans="1:8" x14ac:dyDescent="0.35">
      <c r="A39" s="5" t="s">
        <v>49</v>
      </c>
      <c r="B39" s="13">
        <v>500</v>
      </c>
      <c r="C39" s="13">
        <v>2000</v>
      </c>
      <c r="D39" s="13">
        <v>4500</v>
      </c>
      <c r="E39" s="13">
        <v>8000</v>
      </c>
      <c r="F39" s="13">
        <v>14000</v>
      </c>
      <c r="G39" s="13">
        <v>22000</v>
      </c>
      <c r="H39" s="5" t="s">
        <v>50</v>
      </c>
    </row>
    <row r="40" spans="1:8" x14ac:dyDescent="0.35">
      <c r="A40" s="5" t="s">
        <v>51</v>
      </c>
      <c r="B40" s="6"/>
      <c r="C40" s="8">
        <v>0.55000000000000004</v>
      </c>
      <c r="D40" s="8">
        <v>0.4</v>
      </c>
      <c r="E40" s="8">
        <v>0.3</v>
      </c>
      <c r="F40" s="8">
        <v>0.22</v>
      </c>
      <c r="G40" s="8">
        <v>0.18</v>
      </c>
      <c r="H40" s="5" t="s">
        <v>52</v>
      </c>
    </row>
    <row r="41" spans="1:8" x14ac:dyDescent="0.35">
      <c r="A41" s="9" t="s">
        <v>53</v>
      </c>
      <c r="C41" s="10">
        <v>0.15</v>
      </c>
      <c r="D41" s="10">
        <v>0.15</v>
      </c>
      <c r="E41" s="10">
        <v>0.15</v>
      </c>
      <c r="F41" s="10">
        <v>0.15</v>
      </c>
      <c r="G41" s="10">
        <v>0.15</v>
      </c>
      <c r="H41" s="9" t="s">
        <v>54</v>
      </c>
    </row>
    <row r="42" spans="1:8" x14ac:dyDescent="0.35">
      <c r="A42" s="5" t="s">
        <v>55</v>
      </c>
      <c r="B42" s="6"/>
      <c r="C42" s="8">
        <v>0.2</v>
      </c>
      <c r="D42" s="8">
        <v>0.2</v>
      </c>
      <c r="E42" s="8">
        <v>0.2</v>
      </c>
      <c r="F42" s="8">
        <v>0.2</v>
      </c>
      <c r="G42" s="8">
        <v>0.2</v>
      </c>
      <c r="H42" s="5" t="s">
        <v>56</v>
      </c>
    </row>
    <row r="43" spans="1:8" x14ac:dyDescent="0.35">
      <c r="A43" s="5" t="s">
        <v>57</v>
      </c>
      <c r="B43" s="13">
        <v>350000</v>
      </c>
      <c r="C43" s="13">
        <v>180000</v>
      </c>
      <c r="D43" s="13">
        <v>250000</v>
      </c>
      <c r="E43" s="13">
        <v>200000</v>
      </c>
      <c r="F43" s="13">
        <v>300000</v>
      </c>
      <c r="G43" s="13">
        <v>400000</v>
      </c>
      <c r="H43" s="5" t="s">
        <v>58</v>
      </c>
    </row>
    <row r="44" spans="1:8" x14ac:dyDescent="0.35">
      <c r="A44" s="5" t="s">
        <v>59</v>
      </c>
      <c r="B44" s="13">
        <v>920000</v>
      </c>
      <c r="C44" s="5"/>
      <c r="D44" s="5"/>
      <c r="E44" s="5"/>
      <c r="F44" s="5"/>
      <c r="G44" s="5"/>
      <c r="H44" s="5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44"/>
  <sheetViews>
    <sheetView tabSelected="1" topLeftCell="A23" zoomScaleNormal="100" workbookViewId="0">
      <selection activeCell="C5" sqref="C5"/>
    </sheetView>
  </sheetViews>
  <sheetFormatPr defaultColWidth="8.6328125" defaultRowHeight="14.5" x14ac:dyDescent="0.35"/>
  <cols>
    <col min="1" max="1" width="40" customWidth="1"/>
    <col min="2" max="7" width="18" customWidth="1"/>
  </cols>
  <sheetData>
    <row r="1" spans="1:8" ht="18" x14ac:dyDescent="0.4">
      <c r="A1" s="1" t="s">
        <v>61</v>
      </c>
    </row>
    <row r="2" spans="1:8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5">
      <c r="A3" s="3" t="s">
        <v>62</v>
      </c>
      <c r="B3" s="4"/>
      <c r="C3" s="4"/>
      <c r="D3" s="4"/>
      <c r="E3" s="4"/>
      <c r="F3" s="4"/>
      <c r="G3" s="4"/>
      <c r="H3" s="4"/>
    </row>
    <row r="4" spans="1:8" x14ac:dyDescent="0.35">
      <c r="A4" s="14" t="s">
        <v>20</v>
      </c>
      <c r="B4" s="15">
        <f>Assumptions!B14</f>
        <v>0</v>
      </c>
      <c r="C4" s="15">
        <f>Assumptions!C14</f>
        <v>40</v>
      </c>
      <c r="D4" s="15">
        <f>Assumptions!D14</f>
        <v>150</v>
      </c>
      <c r="E4" s="15">
        <f>Assumptions!E14</f>
        <v>380</v>
      </c>
      <c r="F4" s="15">
        <f>Assumptions!F14</f>
        <v>650</v>
      </c>
      <c r="G4" s="15">
        <f>Assumptions!G14</f>
        <v>1000</v>
      </c>
    </row>
    <row r="5" spans="1:8" x14ac:dyDescent="0.35">
      <c r="A5" s="14" t="s">
        <v>63</v>
      </c>
      <c r="C5" s="16">
        <f>Assumptions!C21</f>
        <v>180</v>
      </c>
      <c r="D5" s="16">
        <f>Assumptions!D21</f>
        <v>220</v>
      </c>
      <c r="E5" s="16">
        <f>Assumptions!E21</f>
        <v>260</v>
      </c>
      <c r="F5" s="16">
        <f>Assumptions!F21</f>
        <v>300</v>
      </c>
      <c r="G5" s="16">
        <f>Assumptions!G21</f>
        <v>340</v>
      </c>
    </row>
    <row r="6" spans="1:8" x14ac:dyDescent="0.35">
      <c r="A6" s="17" t="s">
        <v>64</v>
      </c>
      <c r="B6" s="18">
        <v>0</v>
      </c>
      <c r="C6" s="19">
        <f>C4*C5*12</f>
        <v>86400</v>
      </c>
      <c r="D6" s="19">
        <f>D4*D5*12</f>
        <v>396000</v>
      </c>
      <c r="E6" s="19">
        <f>E4*E5*12</f>
        <v>1185600</v>
      </c>
      <c r="F6" s="19">
        <f>F4*F5*12</f>
        <v>2340000</v>
      </c>
      <c r="G6" s="19">
        <f>G4*G5*12</f>
        <v>4080000</v>
      </c>
    </row>
    <row r="8" spans="1:8" x14ac:dyDescent="0.35">
      <c r="A8" s="3" t="s">
        <v>65</v>
      </c>
      <c r="B8" s="4"/>
      <c r="C8" s="4"/>
      <c r="D8" s="4"/>
      <c r="E8" s="4"/>
      <c r="F8" s="4"/>
      <c r="G8" s="4"/>
      <c r="H8" s="4"/>
    </row>
    <row r="9" spans="1:8" x14ac:dyDescent="0.35">
      <c r="A9" s="14" t="s">
        <v>66</v>
      </c>
      <c r="B9" s="15">
        <f>Assumptions!B23</f>
        <v>0</v>
      </c>
      <c r="C9" s="15">
        <f>Assumptions!C23</f>
        <v>120</v>
      </c>
      <c r="D9" s="15">
        <f>Assumptions!D23</f>
        <v>450</v>
      </c>
      <c r="E9" s="15">
        <f>Assumptions!E23</f>
        <v>1100</v>
      </c>
      <c r="F9" s="15">
        <f>Assumptions!F23</f>
        <v>2000</v>
      </c>
      <c r="G9" s="15">
        <f>Assumptions!G23</f>
        <v>3500</v>
      </c>
    </row>
    <row r="10" spans="1:8" x14ac:dyDescent="0.35">
      <c r="A10" s="14" t="s">
        <v>67</v>
      </c>
      <c r="C10" s="16">
        <f>Assumptions!C22</f>
        <v>350</v>
      </c>
      <c r="D10" s="16">
        <f>Assumptions!D22</f>
        <v>400</v>
      </c>
      <c r="E10" s="16">
        <f>Assumptions!E22</f>
        <v>450</v>
      </c>
      <c r="F10" s="16">
        <f>Assumptions!F22</f>
        <v>500</v>
      </c>
      <c r="G10" s="16">
        <f>Assumptions!G22</f>
        <v>550</v>
      </c>
    </row>
    <row r="11" spans="1:8" x14ac:dyDescent="0.35">
      <c r="A11" s="17" t="s">
        <v>68</v>
      </c>
      <c r="B11" s="18">
        <v>0</v>
      </c>
      <c r="C11" s="19">
        <f>C9*C10</f>
        <v>42000</v>
      </c>
      <c r="D11" s="19">
        <f>D9*D10</f>
        <v>180000</v>
      </c>
      <c r="E11" s="19">
        <f>E9*E10</f>
        <v>495000</v>
      </c>
      <c r="F11" s="19">
        <f>F9*F10</f>
        <v>1000000</v>
      </c>
      <c r="G11" s="19">
        <f>G9*G10</f>
        <v>1925000</v>
      </c>
    </row>
    <row r="13" spans="1:8" x14ac:dyDescent="0.35">
      <c r="A13" s="3" t="s">
        <v>69</v>
      </c>
      <c r="B13" s="4"/>
      <c r="C13" s="4"/>
      <c r="D13" s="4"/>
      <c r="E13" s="4"/>
      <c r="F13" s="4"/>
      <c r="G13" s="4"/>
      <c r="H13" s="4"/>
    </row>
    <row r="14" spans="1:8" x14ac:dyDescent="0.35">
      <c r="A14" s="14" t="s">
        <v>70</v>
      </c>
      <c r="B14" s="15">
        <f>Assumptions!B25</f>
        <v>0</v>
      </c>
      <c r="C14" s="15">
        <f>Assumptions!C25</f>
        <v>200</v>
      </c>
      <c r="D14" s="15">
        <f>Assumptions!D25</f>
        <v>800</v>
      </c>
      <c r="E14" s="15">
        <f>Assumptions!E25</f>
        <v>2000</v>
      </c>
      <c r="F14" s="15">
        <f>Assumptions!F25</f>
        <v>4000</v>
      </c>
      <c r="G14" s="15">
        <f>Assumptions!G25</f>
        <v>7000</v>
      </c>
    </row>
    <row r="15" spans="1:8" x14ac:dyDescent="0.35">
      <c r="A15" s="14" t="s">
        <v>71</v>
      </c>
      <c r="C15" s="16">
        <f>Assumptions!C24</f>
        <v>80</v>
      </c>
      <c r="D15" s="16">
        <f>Assumptions!D24</f>
        <v>90</v>
      </c>
      <c r="E15" s="16">
        <f>Assumptions!E24</f>
        <v>100</v>
      </c>
      <c r="F15" s="16">
        <f>Assumptions!F24</f>
        <v>110</v>
      </c>
      <c r="G15" s="16">
        <f>Assumptions!G24</f>
        <v>120</v>
      </c>
    </row>
    <row r="16" spans="1:8" x14ac:dyDescent="0.35">
      <c r="A16" s="17" t="s">
        <v>72</v>
      </c>
      <c r="B16" s="18">
        <v>0</v>
      </c>
      <c r="C16" s="19">
        <f>C14*C15</f>
        <v>16000</v>
      </c>
      <c r="D16" s="19">
        <f>D14*D15</f>
        <v>72000</v>
      </c>
      <c r="E16" s="19">
        <f>E14*E15</f>
        <v>200000</v>
      </c>
      <c r="F16" s="19">
        <f>F14*F15</f>
        <v>440000</v>
      </c>
      <c r="G16" s="19">
        <f>G14*G15</f>
        <v>840000</v>
      </c>
    </row>
    <row r="18" spans="1:8" x14ac:dyDescent="0.35">
      <c r="A18" s="3" t="s">
        <v>73</v>
      </c>
      <c r="B18" s="4"/>
      <c r="C18" s="4"/>
      <c r="D18" s="4"/>
      <c r="E18" s="4"/>
      <c r="F18" s="4"/>
      <c r="G18" s="4"/>
      <c r="H18" s="4"/>
    </row>
    <row r="19" spans="1:8" x14ac:dyDescent="0.35">
      <c r="A19" s="14" t="s">
        <v>25</v>
      </c>
      <c r="B19" s="15">
        <f>Assumptions!B18</f>
        <v>0</v>
      </c>
      <c r="C19" s="15">
        <f>Assumptions!C18</f>
        <v>15</v>
      </c>
      <c r="D19" s="15">
        <f>Assumptions!D18</f>
        <v>80</v>
      </c>
      <c r="E19" s="15">
        <f>Assumptions!E18</f>
        <v>250</v>
      </c>
      <c r="F19" s="15">
        <f>Assumptions!F18</f>
        <v>550</v>
      </c>
      <c r="G19" s="15">
        <f>Assumptions!G18</f>
        <v>1100</v>
      </c>
    </row>
    <row r="20" spans="1:8" x14ac:dyDescent="0.35">
      <c r="A20" s="14" t="s">
        <v>74</v>
      </c>
      <c r="C20" s="16">
        <f>Assumptions!C17</f>
        <v>850000</v>
      </c>
      <c r="D20" s="16">
        <f>Assumptions!D17</f>
        <v>900000</v>
      </c>
      <c r="E20" s="16">
        <f>Assumptions!E17</f>
        <v>950000</v>
      </c>
      <c r="F20" s="16">
        <f>Assumptions!F17</f>
        <v>1000000</v>
      </c>
      <c r="G20" s="16">
        <f>Assumptions!G17</f>
        <v>1050000</v>
      </c>
    </row>
    <row r="21" spans="1:8" x14ac:dyDescent="0.35">
      <c r="A21" s="14" t="s">
        <v>75</v>
      </c>
      <c r="C21" s="20">
        <f>Assumptions!C26</f>
        <v>5.0000000000000001E-3</v>
      </c>
      <c r="D21" s="20">
        <f>Assumptions!D26</f>
        <v>8.0000000000000002E-3</v>
      </c>
      <c r="E21" s="20">
        <f>Assumptions!E26</f>
        <v>0.01</v>
      </c>
      <c r="F21" s="20">
        <f>Assumptions!F26</f>
        <v>1.2E-2</v>
      </c>
      <c r="G21" s="20">
        <f>Assumptions!G26</f>
        <v>1.4999999999999999E-2</v>
      </c>
    </row>
    <row r="22" spans="1:8" x14ac:dyDescent="0.35">
      <c r="A22" s="17" t="s">
        <v>76</v>
      </c>
      <c r="B22" s="18">
        <v>0</v>
      </c>
      <c r="C22" s="19">
        <f>C19*C20*C21</f>
        <v>63750</v>
      </c>
      <c r="D22" s="19">
        <f>D19*D20*D21</f>
        <v>576000</v>
      </c>
      <c r="E22" s="19">
        <f>E19*E20*E21</f>
        <v>2375000</v>
      </c>
      <c r="F22" s="19">
        <f>F19*F20*F21</f>
        <v>6600000</v>
      </c>
      <c r="G22" s="19">
        <f>G19*G20*G21</f>
        <v>17325000</v>
      </c>
    </row>
    <row r="24" spans="1:8" x14ac:dyDescent="0.35">
      <c r="A24" s="3" t="s">
        <v>77</v>
      </c>
      <c r="B24" s="4"/>
      <c r="C24" s="4"/>
      <c r="D24" s="4"/>
      <c r="E24" s="4"/>
      <c r="F24" s="4"/>
      <c r="G24" s="4"/>
      <c r="H24" s="4"/>
    </row>
    <row r="25" spans="1:8" x14ac:dyDescent="0.35">
      <c r="A25" s="9" t="s">
        <v>78</v>
      </c>
      <c r="B25" s="21">
        <v>0</v>
      </c>
      <c r="C25" s="22">
        <f>Assumptions!C27*Assumptions!C28</f>
        <v>5000</v>
      </c>
      <c r="D25" s="22">
        <f>Assumptions!D27*Assumptions!D28</f>
        <v>30000</v>
      </c>
      <c r="E25" s="22">
        <f>Assumptions!E27*Assumptions!E28</f>
        <v>126000</v>
      </c>
      <c r="F25" s="22">
        <f>Assumptions!F27*Assumptions!F28</f>
        <v>300000</v>
      </c>
      <c r="G25" s="22">
        <f>Assumptions!G27*Assumptions!G28</f>
        <v>640000</v>
      </c>
    </row>
    <row r="26" spans="1:8" x14ac:dyDescent="0.35">
      <c r="A26" s="9" t="s">
        <v>79</v>
      </c>
      <c r="B26" s="21">
        <v>0</v>
      </c>
      <c r="C26" s="22">
        <f>Assumptions!C29*Assumptions!C30</f>
        <v>8000</v>
      </c>
      <c r="D26" s="22">
        <f>Assumptions!D29*Assumptions!D30</f>
        <v>54000</v>
      </c>
      <c r="E26" s="22">
        <f>Assumptions!E29*Assumptions!E30</f>
        <v>200000</v>
      </c>
      <c r="F26" s="22">
        <f>Assumptions!F29*Assumptions!F30</f>
        <v>450000</v>
      </c>
      <c r="G26" s="22">
        <f>Assumptions!G29*Assumptions!G30</f>
        <v>900000</v>
      </c>
    </row>
    <row r="27" spans="1:8" x14ac:dyDescent="0.35">
      <c r="A27" s="9" t="s">
        <v>80</v>
      </c>
      <c r="B27" s="21">
        <v>0</v>
      </c>
      <c r="C27" s="22">
        <f>Assumptions!C31*Assumptions!C32</f>
        <v>3200</v>
      </c>
      <c r="D27" s="22">
        <f>Assumptions!D31*Assumptions!D32</f>
        <v>22500</v>
      </c>
      <c r="E27" s="22">
        <f>Assumptions!E31*Assumptions!E32</f>
        <v>90000</v>
      </c>
      <c r="F27" s="22">
        <f>Assumptions!F31*Assumptions!F32</f>
        <v>227500</v>
      </c>
      <c r="G27" s="22">
        <f>Assumptions!G31*Assumptions!G32</f>
        <v>490000</v>
      </c>
    </row>
    <row r="28" spans="1:8" x14ac:dyDescent="0.35">
      <c r="A28" s="17" t="s">
        <v>81</v>
      </c>
      <c r="B28" s="18">
        <v>0</v>
      </c>
      <c r="C28" s="19">
        <f>SUM(C25:C27)</f>
        <v>16200</v>
      </c>
      <c r="D28" s="19">
        <f>SUM(D25:D27)</f>
        <v>106500</v>
      </c>
      <c r="E28" s="19">
        <f>SUM(E25:E27)</f>
        <v>416000</v>
      </c>
      <c r="F28" s="19">
        <f>SUM(F25:F27)</f>
        <v>977500</v>
      </c>
      <c r="G28" s="19">
        <f>SUM(G25:G27)</f>
        <v>2030000</v>
      </c>
    </row>
    <row r="30" spans="1:8" x14ac:dyDescent="0.35">
      <c r="A30" s="3" t="s">
        <v>82</v>
      </c>
      <c r="B30" s="4"/>
      <c r="C30" s="4"/>
      <c r="D30" s="4"/>
      <c r="E30" s="4"/>
      <c r="F30" s="4"/>
      <c r="G30" s="4"/>
      <c r="H30" s="4"/>
    </row>
    <row r="31" spans="1:8" x14ac:dyDescent="0.35">
      <c r="A31" s="14" t="s">
        <v>83</v>
      </c>
      <c r="B31" s="15">
        <f>Assumptions!B33</f>
        <v>0</v>
      </c>
      <c r="C31" s="15">
        <f>Assumptions!C33</f>
        <v>10</v>
      </c>
      <c r="D31" s="15">
        <f>Assumptions!D33</f>
        <v>40</v>
      </c>
      <c r="E31" s="15">
        <f>Assumptions!E33</f>
        <v>100</v>
      </c>
      <c r="F31" s="15">
        <f>Assumptions!F33</f>
        <v>200</v>
      </c>
      <c r="G31" s="15">
        <f>Assumptions!G33</f>
        <v>350</v>
      </c>
    </row>
    <row r="32" spans="1:8" x14ac:dyDescent="0.35">
      <c r="A32" s="14" t="s">
        <v>84</v>
      </c>
      <c r="C32" s="16">
        <f>Assumptions!C34</f>
        <v>250</v>
      </c>
      <c r="D32" s="16">
        <f>Assumptions!D34</f>
        <v>300</v>
      </c>
      <c r="E32" s="16">
        <f>Assumptions!E34</f>
        <v>350</v>
      </c>
      <c r="F32" s="16">
        <f>Assumptions!F34</f>
        <v>400</v>
      </c>
      <c r="G32" s="16">
        <f>Assumptions!G34</f>
        <v>450</v>
      </c>
    </row>
    <row r="33" spans="1:8" x14ac:dyDescent="0.35">
      <c r="A33" s="17" t="s">
        <v>85</v>
      </c>
      <c r="B33" s="18">
        <v>0</v>
      </c>
      <c r="C33" s="19">
        <f>C31*C32*12</f>
        <v>30000</v>
      </c>
      <c r="D33" s="19">
        <f>D31*D32*12</f>
        <v>144000</v>
      </c>
      <c r="E33" s="19">
        <f>E31*E32*12</f>
        <v>420000</v>
      </c>
      <c r="F33" s="19">
        <f>F31*F32*12</f>
        <v>960000</v>
      </c>
      <c r="G33" s="19">
        <f>G31*G32*12</f>
        <v>1890000</v>
      </c>
    </row>
    <row r="35" spans="1:8" x14ac:dyDescent="0.35">
      <c r="A35" s="3" t="s">
        <v>86</v>
      </c>
      <c r="B35" s="4"/>
      <c r="C35" s="4"/>
      <c r="D35" s="4"/>
      <c r="E35" s="4"/>
      <c r="F35" s="4"/>
      <c r="G35" s="4"/>
      <c r="H35" s="4"/>
    </row>
    <row r="36" spans="1:8" x14ac:dyDescent="0.35">
      <c r="A36" s="23" t="s">
        <v>86</v>
      </c>
      <c r="B36" s="24">
        <v>0</v>
      </c>
      <c r="C36" s="25">
        <f>C6+C11+C16+C22+C28+C33</f>
        <v>254350</v>
      </c>
      <c r="D36" s="25">
        <f>D6+D11+D16+D22+D28+D33</f>
        <v>1474500</v>
      </c>
      <c r="E36" s="25">
        <f>E6+E11+E16+E22+E28+E33</f>
        <v>5091600</v>
      </c>
      <c r="F36" s="25">
        <f>F6+F11+F16+F22+F28+F33</f>
        <v>12317500</v>
      </c>
      <c r="G36" s="25">
        <f>G6+G11+G16+G22+G28+G33</f>
        <v>28090000</v>
      </c>
    </row>
    <row r="38" spans="1:8" x14ac:dyDescent="0.35">
      <c r="A38" s="26" t="s">
        <v>87</v>
      </c>
    </row>
    <row r="39" spans="1:8" x14ac:dyDescent="0.35">
      <c r="A39" s="9" t="s">
        <v>88</v>
      </c>
      <c r="C39" s="27">
        <f>IF(C36=0,0,C6/C36)</f>
        <v>0.33968940436406525</v>
      </c>
      <c r="D39" s="27">
        <f>IF(D36=0,0,D6/D36)</f>
        <v>0.26856561546286878</v>
      </c>
      <c r="E39" s="27">
        <f>IF(E36=0,0,E6/E36)</f>
        <v>0.23285411265613953</v>
      </c>
      <c r="F39" s="27">
        <f>IF(F36=0,0,F6/F36)</f>
        <v>0.18997361477572558</v>
      </c>
      <c r="G39" s="27">
        <f>IF(G36=0,0,G6/G36)</f>
        <v>0.14524741901032395</v>
      </c>
    </row>
    <row r="40" spans="1:8" x14ac:dyDescent="0.35">
      <c r="A40" s="9" t="s">
        <v>89</v>
      </c>
      <c r="C40" s="27">
        <f>IF(C36=0,0,C11/C36)</f>
        <v>0.16512679378808728</v>
      </c>
      <c r="D40" s="27">
        <f>IF(D36=0,0,D11/D36)</f>
        <v>0.12207527975584945</v>
      </c>
      <c r="E40" s="27">
        <f>IF(E36=0,0,E11/E36)</f>
        <v>9.7218948856940837E-2</v>
      </c>
      <c r="F40" s="27">
        <f>IF(F36=0,0,F11/F36)</f>
        <v>8.1185305459711796E-2</v>
      </c>
      <c r="G40" s="27">
        <f>IF(G36=0,0,G11/G36)</f>
        <v>6.8529725881096473E-2</v>
      </c>
    </row>
    <row r="41" spans="1:8" x14ac:dyDescent="0.35">
      <c r="A41" s="9" t="s">
        <v>90</v>
      </c>
      <c r="C41" s="27">
        <f>IF(C36=0,0,C16/C36)</f>
        <v>6.2905445252604678E-2</v>
      </c>
      <c r="D41" s="27">
        <f>IF(D36=0,0,D16/D36)</f>
        <v>4.8830111902339775E-2</v>
      </c>
      <c r="E41" s="27">
        <f>IF(E36=0,0,E16/E36)</f>
        <v>3.9280383376541758E-2</v>
      </c>
      <c r="F41" s="27">
        <f>IF(F36=0,0,F16/F36)</f>
        <v>3.5721534402273186E-2</v>
      </c>
      <c r="G41" s="27">
        <f>IF(G36=0,0,G16/G36)</f>
        <v>2.9903880384478464E-2</v>
      </c>
    </row>
    <row r="42" spans="1:8" x14ac:dyDescent="0.35">
      <c r="A42" s="9" t="s">
        <v>91</v>
      </c>
      <c r="C42" s="27">
        <f>IF(C36=0,0,C22/C36)</f>
        <v>0.25063888342834678</v>
      </c>
      <c r="D42" s="27">
        <f>IF(D36=0,0,D22/D36)</f>
        <v>0.3906408952187182</v>
      </c>
      <c r="E42" s="27">
        <f>IF(E36=0,0,E22/E36)</f>
        <v>0.46645455259643331</v>
      </c>
      <c r="F42" s="27">
        <f>IF(F36=0,0,F22/F36)</f>
        <v>0.53582301603409788</v>
      </c>
      <c r="G42" s="27">
        <f>IF(G36=0,0,G22/G36)</f>
        <v>0.6167675329298683</v>
      </c>
    </row>
    <row r="43" spans="1:8" x14ac:dyDescent="0.35">
      <c r="A43" s="9" t="s">
        <v>92</v>
      </c>
      <c r="C43" s="27">
        <f>IF(C36=0,0,C28/C36)</f>
        <v>6.3691763318262234E-2</v>
      </c>
      <c r="D43" s="27">
        <f>IF(D36=0,0,D28/D36)</f>
        <v>7.2227873855544258E-2</v>
      </c>
      <c r="E43" s="27">
        <f>IF(E36=0,0,E28/E36)</f>
        <v>8.170319742320685E-2</v>
      </c>
      <c r="F43" s="27">
        <f>IF(F36=0,0,F28/F36)</f>
        <v>7.9358636086868273E-2</v>
      </c>
      <c r="G43" s="27">
        <f>IF(G36=0,0,G28/G36)</f>
        <v>7.2267710929156279E-2</v>
      </c>
    </row>
    <row r="44" spans="1:8" x14ac:dyDescent="0.35">
      <c r="A44" s="9" t="s">
        <v>93</v>
      </c>
      <c r="C44" s="27">
        <f>IF(C36=0,0,C33/C36)</f>
        <v>0.11794770984863377</v>
      </c>
      <c r="D44" s="27">
        <f>IF(D36=0,0,D33/D36)</f>
        <v>9.766022380467955E-2</v>
      </c>
      <c r="E44" s="27">
        <f>IF(E36=0,0,E33/E36)</f>
        <v>8.248880509073768E-2</v>
      </c>
      <c r="F44" s="27">
        <f>IF(F36=0,0,F33/F36)</f>
        <v>7.7937893241323317E-2</v>
      </c>
      <c r="G44" s="27">
        <f>IF(G36=0,0,G33/G36)</f>
        <v>6.7283730865076538E-2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H34"/>
  <sheetViews>
    <sheetView zoomScaleNormal="100" workbookViewId="0">
      <selection activeCell="G25" sqref="G25"/>
    </sheetView>
  </sheetViews>
  <sheetFormatPr defaultColWidth="8.6328125" defaultRowHeight="14.5" x14ac:dyDescent="0.35"/>
  <cols>
    <col min="1" max="1" width="40" customWidth="1"/>
    <col min="2" max="7" width="18" customWidth="1"/>
  </cols>
  <sheetData>
    <row r="1" spans="1:8" ht="18" x14ac:dyDescent="0.4">
      <c r="A1" s="1" t="s">
        <v>94</v>
      </c>
    </row>
    <row r="2" spans="1:8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5">
      <c r="A3" s="3" t="s">
        <v>95</v>
      </c>
      <c r="B3" s="4"/>
      <c r="C3" s="4"/>
      <c r="D3" s="4"/>
      <c r="E3" s="4"/>
      <c r="F3" s="4"/>
      <c r="G3" s="4"/>
      <c r="H3" s="4"/>
    </row>
    <row r="4" spans="1:8" x14ac:dyDescent="0.35">
      <c r="A4" s="28" t="s">
        <v>96</v>
      </c>
      <c r="B4" s="29">
        <f>'Revenue Detail'!B36</f>
        <v>0</v>
      </c>
      <c r="C4" s="29">
        <f>'Revenue Detail'!C36</f>
        <v>254350</v>
      </c>
      <c r="D4" s="29">
        <f>'Revenue Detail'!D36</f>
        <v>1474500</v>
      </c>
      <c r="E4" s="29">
        <f>'Revenue Detail'!E36</f>
        <v>5091600</v>
      </c>
      <c r="F4" s="29">
        <f>'Revenue Detail'!F36</f>
        <v>12317500</v>
      </c>
      <c r="G4" s="29">
        <f>'Revenue Detail'!G36</f>
        <v>28090000</v>
      </c>
    </row>
    <row r="6" spans="1:8" x14ac:dyDescent="0.35">
      <c r="A6" s="3" t="s">
        <v>97</v>
      </c>
      <c r="B6" s="4"/>
      <c r="C6" s="4"/>
      <c r="D6" s="4"/>
      <c r="E6" s="4"/>
      <c r="F6" s="4"/>
      <c r="G6" s="4"/>
      <c r="H6" s="4"/>
    </row>
    <row r="7" spans="1:8" x14ac:dyDescent="0.35">
      <c r="A7" s="9" t="s">
        <v>98</v>
      </c>
      <c r="B7" s="21">
        <v>0</v>
      </c>
      <c r="C7" s="21">
        <f>C4*0.025</f>
        <v>6358.75</v>
      </c>
      <c r="D7" s="21">
        <f>D4*0.025</f>
        <v>36862.5</v>
      </c>
      <c r="E7" s="21">
        <f>E4*0.025</f>
        <v>127290</v>
      </c>
      <c r="F7" s="21">
        <f>F4*0.025</f>
        <v>307937.5</v>
      </c>
      <c r="G7" s="21">
        <f>G4*0.025</f>
        <v>702250</v>
      </c>
    </row>
    <row r="8" spans="1:8" x14ac:dyDescent="0.35">
      <c r="A8" s="9" t="s">
        <v>99</v>
      </c>
      <c r="B8" s="16">
        <f>Assumptions!B39*12</f>
        <v>6000</v>
      </c>
      <c r="C8" s="16">
        <f>Assumptions!C39*12</f>
        <v>24000</v>
      </c>
      <c r="D8" s="16">
        <f>Assumptions!D39*12</f>
        <v>54000</v>
      </c>
      <c r="E8" s="16">
        <f>Assumptions!E39*12</f>
        <v>96000</v>
      </c>
      <c r="F8" s="16">
        <f>Assumptions!F39*12</f>
        <v>168000</v>
      </c>
      <c r="G8" s="16">
        <f>Assumptions!G39*12</f>
        <v>264000</v>
      </c>
    </row>
    <row r="9" spans="1:8" x14ac:dyDescent="0.35">
      <c r="A9" s="9" t="s">
        <v>100</v>
      </c>
      <c r="B9" s="30">
        <v>0</v>
      </c>
      <c r="C9" s="30">
        <v>12000</v>
      </c>
      <c r="D9" s="30">
        <v>24000</v>
      </c>
      <c r="E9" s="30">
        <v>36000</v>
      </c>
      <c r="F9" s="30">
        <v>48000</v>
      </c>
      <c r="G9" s="30">
        <v>60000</v>
      </c>
    </row>
    <row r="10" spans="1:8" x14ac:dyDescent="0.35">
      <c r="A10" s="9" t="s">
        <v>101</v>
      </c>
      <c r="B10" s="30">
        <v>0</v>
      </c>
      <c r="C10" s="30">
        <v>24000</v>
      </c>
      <c r="D10" s="30">
        <v>48000</v>
      </c>
      <c r="E10" s="30">
        <v>84000</v>
      </c>
      <c r="F10" s="30">
        <v>144000</v>
      </c>
      <c r="G10" s="30">
        <v>240000</v>
      </c>
    </row>
    <row r="11" spans="1:8" x14ac:dyDescent="0.35">
      <c r="A11" s="17" t="s">
        <v>102</v>
      </c>
      <c r="B11" s="19">
        <f t="shared" ref="B11:G11" si="0">SUM(B7:B10)</f>
        <v>6000</v>
      </c>
      <c r="C11" s="19">
        <f t="shared" si="0"/>
        <v>66358.75</v>
      </c>
      <c r="D11" s="19">
        <f t="shared" si="0"/>
        <v>162862.5</v>
      </c>
      <c r="E11" s="19">
        <f t="shared" si="0"/>
        <v>343290</v>
      </c>
      <c r="F11" s="19">
        <f t="shared" si="0"/>
        <v>667937.5</v>
      </c>
      <c r="G11" s="19">
        <f t="shared" si="0"/>
        <v>1266250</v>
      </c>
    </row>
    <row r="12" spans="1:8" x14ac:dyDescent="0.35">
      <c r="A12" s="31" t="s">
        <v>103</v>
      </c>
      <c r="B12" s="32">
        <f t="shared" ref="B12:G12" si="1">B4-B11</f>
        <v>-6000</v>
      </c>
      <c r="C12" s="32">
        <f t="shared" si="1"/>
        <v>187991.25</v>
      </c>
      <c r="D12" s="32">
        <f t="shared" si="1"/>
        <v>1311637.5</v>
      </c>
      <c r="E12" s="32">
        <f t="shared" si="1"/>
        <v>4748310</v>
      </c>
      <c r="F12" s="32">
        <f t="shared" si="1"/>
        <v>11649562.5</v>
      </c>
      <c r="G12" s="32">
        <f t="shared" si="1"/>
        <v>26823750</v>
      </c>
    </row>
    <row r="13" spans="1:8" x14ac:dyDescent="0.35">
      <c r="A13" s="9" t="s">
        <v>104</v>
      </c>
      <c r="C13" s="27">
        <f>IF(C4=0,0,C12/C4)</f>
        <v>0.73910458030273241</v>
      </c>
      <c r="D13" s="27">
        <f>IF(D4=0,0,D12/D4)</f>
        <v>0.88954730417090544</v>
      </c>
      <c r="E13" s="27">
        <f>IF(E4=0,0,E12/E4)</f>
        <v>0.93257718595333494</v>
      </c>
      <c r="F13" s="27">
        <f>IF(F4=0,0,F12/F4)</f>
        <v>0.94577329003450372</v>
      </c>
      <c r="G13" s="27">
        <f>IF(G4=0,0,G12/G4)</f>
        <v>0.95492168031327873</v>
      </c>
    </row>
    <row r="15" spans="1:8" x14ac:dyDescent="0.35">
      <c r="A15" s="3" t="s">
        <v>105</v>
      </c>
      <c r="B15" s="4"/>
      <c r="C15" s="4"/>
      <c r="D15" s="4"/>
      <c r="E15" s="4"/>
      <c r="F15" s="4"/>
      <c r="G15" s="4"/>
      <c r="H15" s="4"/>
    </row>
    <row r="16" spans="1:8" x14ac:dyDescent="0.35">
      <c r="A16" s="9" t="s">
        <v>106</v>
      </c>
      <c r="B16" s="16">
        <f>Assumptions!B37*Assumptions!B38</f>
        <v>0</v>
      </c>
      <c r="C16" s="16">
        <f>Assumptions!C37*Assumptions!C38</f>
        <v>480000</v>
      </c>
      <c r="D16" s="16">
        <f>Assumptions!D37*Assumptions!D38</f>
        <v>910000</v>
      </c>
      <c r="E16" s="16">
        <f>Assumptions!E37*Assumptions!E38</f>
        <v>1540000</v>
      </c>
      <c r="F16" s="16">
        <f>Assumptions!F37*Assumptions!F38</f>
        <v>2400000</v>
      </c>
      <c r="G16" s="16">
        <f>Assumptions!G37*Assumptions!G38</f>
        <v>3600000</v>
      </c>
    </row>
    <row r="17" spans="1:7" x14ac:dyDescent="0.35">
      <c r="A17" s="9" t="s">
        <v>107</v>
      </c>
      <c r="B17" s="30">
        <v>30000</v>
      </c>
      <c r="C17" s="21">
        <f>MAX(C4*Assumptions!C40,60000)</f>
        <v>139892.5</v>
      </c>
      <c r="D17" s="21">
        <f>MAX(D4*Assumptions!D40,60000)</f>
        <v>589800</v>
      </c>
      <c r="E17" s="21">
        <f>MAX(E4*Assumptions!E40,60000)</f>
        <v>1527480</v>
      </c>
      <c r="F17" s="21">
        <f>MAX(F4*Assumptions!F40,60000)</f>
        <v>2709850</v>
      </c>
      <c r="G17" s="21">
        <f>MAX(G4*Assumptions!G40,60000)</f>
        <v>5056200</v>
      </c>
    </row>
    <row r="18" spans="1:7" x14ac:dyDescent="0.35">
      <c r="A18" s="9" t="s">
        <v>108</v>
      </c>
      <c r="B18" s="30">
        <v>6000</v>
      </c>
      <c r="C18" s="30">
        <v>24000</v>
      </c>
      <c r="D18" s="30">
        <v>36000</v>
      </c>
      <c r="E18" s="30">
        <v>60000</v>
      </c>
      <c r="F18" s="30">
        <v>96000</v>
      </c>
      <c r="G18" s="30">
        <v>144000</v>
      </c>
    </row>
    <row r="19" spans="1:7" x14ac:dyDescent="0.35">
      <c r="A19" s="9" t="s">
        <v>109</v>
      </c>
      <c r="B19" s="30">
        <v>15000</v>
      </c>
      <c r="C19" s="30">
        <v>30000</v>
      </c>
      <c r="D19" s="30">
        <v>48000</v>
      </c>
      <c r="E19" s="30">
        <v>72000</v>
      </c>
      <c r="F19" s="30">
        <v>96000</v>
      </c>
      <c r="G19" s="30">
        <v>120000</v>
      </c>
    </row>
    <row r="20" spans="1:7" x14ac:dyDescent="0.35">
      <c r="A20" s="9" t="s">
        <v>110</v>
      </c>
      <c r="B20" s="30">
        <v>3000</v>
      </c>
      <c r="C20" s="30">
        <v>18000</v>
      </c>
      <c r="D20" s="30">
        <v>30000</v>
      </c>
      <c r="E20" s="30">
        <v>48000</v>
      </c>
      <c r="F20" s="30">
        <v>72000</v>
      </c>
      <c r="G20" s="30">
        <v>96000</v>
      </c>
    </row>
    <row r="21" spans="1:7" x14ac:dyDescent="0.35">
      <c r="A21" s="9" t="s">
        <v>111</v>
      </c>
      <c r="B21" s="30">
        <v>5000</v>
      </c>
      <c r="C21" s="30">
        <v>30000</v>
      </c>
      <c r="D21" s="30">
        <v>48000</v>
      </c>
      <c r="E21" s="30">
        <v>72000</v>
      </c>
      <c r="F21" s="30">
        <v>96000</v>
      </c>
      <c r="G21" s="30">
        <v>120000</v>
      </c>
    </row>
    <row r="22" spans="1:7" x14ac:dyDescent="0.35">
      <c r="A22" s="9" t="s">
        <v>112</v>
      </c>
      <c r="B22" s="30">
        <v>0</v>
      </c>
      <c r="C22" s="30">
        <v>12000</v>
      </c>
      <c r="D22" s="30">
        <v>18000</v>
      </c>
      <c r="E22" s="30">
        <v>24000</v>
      </c>
      <c r="F22" s="30">
        <v>36000</v>
      </c>
      <c r="G22" s="30">
        <v>48000</v>
      </c>
    </row>
    <row r="23" spans="1:7" x14ac:dyDescent="0.35">
      <c r="A23" s="17" t="s">
        <v>113</v>
      </c>
      <c r="B23" s="19">
        <f t="shared" ref="B23:G23" si="2">SUM(B16:B22)</f>
        <v>59000</v>
      </c>
      <c r="C23" s="19">
        <f t="shared" si="2"/>
        <v>733892.5</v>
      </c>
      <c r="D23" s="19">
        <f t="shared" si="2"/>
        <v>1679800</v>
      </c>
      <c r="E23" s="19">
        <f t="shared" si="2"/>
        <v>3343480</v>
      </c>
      <c r="F23" s="19">
        <f t="shared" si="2"/>
        <v>5505850</v>
      </c>
      <c r="G23" s="19">
        <f t="shared" si="2"/>
        <v>9184200</v>
      </c>
    </row>
    <row r="25" spans="1:7" x14ac:dyDescent="0.35">
      <c r="A25" s="33" t="s">
        <v>114</v>
      </c>
      <c r="B25" s="34">
        <f t="shared" ref="B25:G25" si="3">B12-B23</f>
        <v>-65000</v>
      </c>
      <c r="C25" s="34">
        <f t="shared" si="3"/>
        <v>-545901.25</v>
      </c>
      <c r="D25" s="34">
        <f t="shared" si="3"/>
        <v>-368162.5</v>
      </c>
      <c r="E25" s="34">
        <f t="shared" si="3"/>
        <v>1404830</v>
      </c>
      <c r="F25" s="34">
        <f t="shared" si="3"/>
        <v>6143712.5</v>
      </c>
      <c r="G25" s="34">
        <f t="shared" si="3"/>
        <v>17639550</v>
      </c>
    </row>
    <row r="26" spans="1:7" x14ac:dyDescent="0.35">
      <c r="A26" s="9" t="s">
        <v>115</v>
      </c>
      <c r="C26" s="27">
        <f>IF(C4=0,0,C25/C4)</f>
        <v>-2.1462600747002161</v>
      </c>
      <c r="D26" s="27">
        <f>IF(D4=0,0,D25/D4)</f>
        <v>-0.24968633435062734</v>
      </c>
      <c r="E26" s="27">
        <f>IF(E4=0,0,E25/E4)</f>
        <v>0.2759113048943358</v>
      </c>
      <c r="F26" s="27">
        <f>IF(F4=0,0,F25/F4)</f>
        <v>0.49877917596914956</v>
      </c>
      <c r="G26" s="27">
        <f>IF(G4=0,0,G25/G4)</f>
        <v>0.62796546813812748</v>
      </c>
    </row>
    <row r="28" spans="1:7" x14ac:dyDescent="0.35">
      <c r="A28" s="9" t="s">
        <v>116</v>
      </c>
      <c r="B28" s="16">
        <f>Assumptions!B43*Assumptions!B42</f>
        <v>0</v>
      </c>
      <c r="C28" s="16">
        <f>Assumptions!C43*Assumptions!C42</f>
        <v>36000</v>
      </c>
      <c r="D28" s="16">
        <f>Assumptions!D43*Assumptions!D42</f>
        <v>50000</v>
      </c>
      <c r="E28" s="16">
        <f>Assumptions!E43*Assumptions!E42</f>
        <v>40000</v>
      </c>
      <c r="F28" s="16">
        <f>Assumptions!F43*Assumptions!F42</f>
        <v>60000</v>
      </c>
      <c r="G28" s="16">
        <f>Assumptions!G43*Assumptions!G42</f>
        <v>80000</v>
      </c>
    </row>
    <row r="29" spans="1:7" x14ac:dyDescent="0.35">
      <c r="A29" s="11" t="s">
        <v>117</v>
      </c>
      <c r="B29" s="35">
        <f t="shared" ref="B29:G29" si="4">B25-B28</f>
        <v>-65000</v>
      </c>
      <c r="C29" s="35">
        <f t="shared" si="4"/>
        <v>-581901.25</v>
      </c>
      <c r="D29" s="35">
        <f t="shared" si="4"/>
        <v>-418162.5</v>
      </c>
      <c r="E29" s="35">
        <f t="shared" si="4"/>
        <v>1364830</v>
      </c>
      <c r="F29" s="35">
        <f t="shared" si="4"/>
        <v>6083712.5</v>
      </c>
      <c r="G29" s="35">
        <f t="shared" si="4"/>
        <v>17559550</v>
      </c>
    </row>
    <row r="30" spans="1:7" x14ac:dyDescent="0.35">
      <c r="A30" s="9" t="s">
        <v>118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</row>
    <row r="31" spans="1:7" x14ac:dyDescent="0.35">
      <c r="A31" s="11" t="s">
        <v>119</v>
      </c>
      <c r="B31" s="35">
        <f t="shared" ref="B31:G31" si="5">B29-B30</f>
        <v>-65000</v>
      </c>
      <c r="C31" s="35">
        <f t="shared" si="5"/>
        <v>-581901.25</v>
      </c>
      <c r="D31" s="35">
        <f t="shared" si="5"/>
        <v>-418162.5</v>
      </c>
      <c r="E31" s="35">
        <f t="shared" si="5"/>
        <v>1364830</v>
      </c>
      <c r="F31" s="35">
        <f t="shared" si="5"/>
        <v>6083712.5</v>
      </c>
      <c r="G31" s="35">
        <f t="shared" si="5"/>
        <v>17559550</v>
      </c>
    </row>
    <row r="32" spans="1:7" x14ac:dyDescent="0.35">
      <c r="A32" s="9" t="s">
        <v>120</v>
      </c>
      <c r="B32" s="21">
        <v>0</v>
      </c>
      <c r="C32" s="21">
        <f>IF(C31&gt;0,C31*Assumptions!C41,0)</f>
        <v>0</v>
      </c>
      <c r="D32" s="21">
        <f>IF(D31&gt;0,D31*Assumptions!D41,0)</f>
        <v>0</v>
      </c>
      <c r="E32" s="21">
        <f>IF(E31&gt;0,E31*Assumptions!E41,0)</f>
        <v>204724.5</v>
      </c>
      <c r="F32" s="21">
        <f>IF(F31&gt;0,F31*Assumptions!F41,0)</f>
        <v>912556.875</v>
      </c>
      <c r="G32" s="21">
        <f>IF(G31&gt;0,G31*Assumptions!G41,0)</f>
        <v>2633932.5</v>
      </c>
    </row>
    <row r="33" spans="1:7" x14ac:dyDescent="0.35">
      <c r="A33" s="23" t="s">
        <v>121</v>
      </c>
      <c r="B33" s="25">
        <f t="shared" ref="B33:G33" si="6">B31-B32</f>
        <v>-65000</v>
      </c>
      <c r="C33" s="25">
        <f t="shared" si="6"/>
        <v>-581901.25</v>
      </c>
      <c r="D33" s="25">
        <f t="shared" si="6"/>
        <v>-418162.5</v>
      </c>
      <c r="E33" s="25">
        <f t="shared" si="6"/>
        <v>1160105.5</v>
      </c>
      <c r="F33" s="25">
        <f t="shared" si="6"/>
        <v>5171155.625</v>
      </c>
      <c r="G33" s="25">
        <f t="shared" si="6"/>
        <v>14925617.5</v>
      </c>
    </row>
    <row r="34" spans="1:7" x14ac:dyDescent="0.35">
      <c r="A34" s="9" t="s">
        <v>122</v>
      </c>
      <c r="C34" s="27">
        <f>IF(C4=0,0,C33/C4)</f>
        <v>-2.2877973265185769</v>
      </c>
      <c r="D34" s="27">
        <f>IF(D4=0,0,D33/D4)</f>
        <v>-0.28359613428280772</v>
      </c>
      <c r="E34" s="27">
        <f>IF(E4=0,0,E33/E4)</f>
        <v>0.22784694398617331</v>
      </c>
      <c r="F34" s="27">
        <f>IF(F4=0,0,F33/F4)</f>
        <v>0.41982184899533187</v>
      </c>
      <c r="G34" s="27">
        <f>IF(G4=0,0,G33/G4)</f>
        <v>0.53134985760056963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0000"/>
  </sheetPr>
  <dimension ref="A1:H25"/>
  <sheetViews>
    <sheetView zoomScaleNormal="100" workbookViewId="0"/>
  </sheetViews>
  <sheetFormatPr defaultColWidth="8.6328125" defaultRowHeight="14.5" x14ac:dyDescent="0.35"/>
  <cols>
    <col min="1" max="1" width="40" customWidth="1"/>
    <col min="2" max="7" width="18" customWidth="1"/>
  </cols>
  <sheetData>
    <row r="1" spans="1:8" ht="18" x14ac:dyDescent="0.4">
      <c r="A1" s="1" t="s">
        <v>123</v>
      </c>
    </row>
    <row r="2" spans="1:8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5">
      <c r="A3" s="3" t="s">
        <v>124</v>
      </c>
      <c r="B3" s="4"/>
      <c r="C3" s="4"/>
      <c r="D3" s="4"/>
      <c r="E3" s="4"/>
      <c r="F3" s="4"/>
      <c r="G3" s="4"/>
      <c r="H3" s="4"/>
    </row>
    <row r="4" spans="1:8" x14ac:dyDescent="0.35">
      <c r="A4" s="11" t="s">
        <v>125</v>
      </c>
      <c r="B4" s="30">
        <v>920000</v>
      </c>
      <c r="C4" s="21">
        <f>B4+'Income Statement'!C33+'Income Statement'!C28-Assumptions!C43</f>
        <v>194098.75</v>
      </c>
      <c r="D4" s="21">
        <f>C4+'Income Statement'!D33+'Income Statement'!D28-Assumptions!D43</f>
        <v>-424063.75</v>
      </c>
      <c r="E4" s="21">
        <f>D4+'Income Statement'!E33+'Income Statement'!E28-Assumptions!E43</f>
        <v>576041.75</v>
      </c>
      <c r="F4" s="21">
        <f>E4+'Income Statement'!F33+'Income Statement'!F28-Assumptions!F43</f>
        <v>5507197.375</v>
      </c>
      <c r="G4" s="21">
        <f>F4+'Income Statement'!G33+'Income Statement'!G28-Assumptions!G43</f>
        <v>20112814.875</v>
      </c>
    </row>
    <row r="5" spans="1:8" x14ac:dyDescent="0.35">
      <c r="A5" s="9" t="s">
        <v>126</v>
      </c>
      <c r="B5" s="21">
        <v>0</v>
      </c>
      <c r="C5" s="21">
        <f>'Income Statement'!C4/12*2</f>
        <v>42391.666666666664</v>
      </c>
      <c r="D5" s="21">
        <f>'Income Statement'!D4/12*2</f>
        <v>245750</v>
      </c>
      <c r="E5" s="21">
        <f>'Income Statement'!E4/12*2</f>
        <v>848600</v>
      </c>
      <c r="F5" s="21">
        <f>'Income Statement'!F4/12*2</f>
        <v>2052916.6666666667</v>
      </c>
      <c r="G5" s="21">
        <f>'Income Statement'!G4/12*2</f>
        <v>4681666.666666667</v>
      </c>
    </row>
    <row r="6" spans="1:8" x14ac:dyDescent="0.35">
      <c r="A6" s="9" t="s">
        <v>127</v>
      </c>
      <c r="B6" s="30">
        <v>10000</v>
      </c>
      <c r="C6" s="30">
        <v>20000</v>
      </c>
      <c r="D6" s="30">
        <v>30000</v>
      </c>
      <c r="E6" s="30">
        <v>40000</v>
      </c>
      <c r="F6" s="30">
        <v>50000</v>
      </c>
      <c r="G6" s="30">
        <v>60000</v>
      </c>
    </row>
    <row r="7" spans="1:8" x14ac:dyDescent="0.35">
      <c r="A7" s="17" t="s">
        <v>128</v>
      </c>
      <c r="B7" s="19">
        <f t="shared" ref="B7:G7" si="0">SUM(B4:B6)</f>
        <v>930000</v>
      </c>
      <c r="C7" s="19">
        <f t="shared" si="0"/>
        <v>256490.41666666666</v>
      </c>
      <c r="D7" s="19">
        <f t="shared" si="0"/>
        <v>-148313.75</v>
      </c>
      <c r="E7" s="19">
        <f t="shared" si="0"/>
        <v>1464641.75</v>
      </c>
      <c r="F7" s="19">
        <f t="shared" si="0"/>
        <v>7610114.041666667</v>
      </c>
      <c r="G7" s="19">
        <f t="shared" si="0"/>
        <v>24854481.541666668</v>
      </c>
    </row>
    <row r="9" spans="1:8" x14ac:dyDescent="0.35">
      <c r="A9" s="9" t="s">
        <v>129</v>
      </c>
      <c r="B9" s="21">
        <f>Assumptions!B43</f>
        <v>350000</v>
      </c>
      <c r="C9" s="21">
        <f>B9+Assumptions!C43-'Income Statement'!C28</f>
        <v>494000</v>
      </c>
      <c r="D9" s="21">
        <f>C9+Assumptions!D43-'Income Statement'!D28</f>
        <v>694000</v>
      </c>
      <c r="E9" s="21">
        <f>D9+Assumptions!E43-'Income Statement'!E28</f>
        <v>854000</v>
      </c>
      <c r="F9" s="21">
        <f>E9+Assumptions!F43-'Income Statement'!F28</f>
        <v>1094000</v>
      </c>
      <c r="G9" s="21">
        <f>F9+Assumptions!G43-'Income Statement'!G28</f>
        <v>1414000</v>
      </c>
    </row>
    <row r="10" spans="1:8" x14ac:dyDescent="0.35">
      <c r="A10" s="23" t="s">
        <v>130</v>
      </c>
      <c r="B10" s="25">
        <f t="shared" ref="B10:G10" si="1">B7+B9</f>
        <v>1280000</v>
      </c>
      <c r="C10" s="25">
        <f t="shared" si="1"/>
        <v>750490.41666666663</v>
      </c>
      <c r="D10" s="25">
        <f t="shared" si="1"/>
        <v>545686.25</v>
      </c>
      <c r="E10" s="25">
        <f t="shared" si="1"/>
        <v>2318641.75</v>
      </c>
      <c r="F10" s="25">
        <f t="shared" si="1"/>
        <v>8704114.0416666679</v>
      </c>
      <c r="G10" s="25">
        <f t="shared" si="1"/>
        <v>26268481.541666668</v>
      </c>
    </row>
    <row r="12" spans="1:8" x14ac:dyDescent="0.35">
      <c r="A12" s="3" t="s">
        <v>131</v>
      </c>
      <c r="B12" s="4"/>
      <c r="C12" s="4"/>
      <c r="D12" s="4"/>
      <c r="E12" s="4"/>
      <c r="F12" s="4"/>
      <c r="G12" s="4"/>
      <c r="H12" s="4"/>
    </row>
    <row r="13" spans="1:8" x14ac:dyDescent="0.35">
      <c r="A13" s="9" t="s">
        <v>132</v>
      </c>
      <c r="B13" s="30">
        <v>15000</v>
      </c>
      <c r="C13" s="21">
        <f>'Income Statement'!C11/12*1.5</f>
        <v>8294.84375</v>
      </c>
      <c r="D13" s="21">
        <f>'Income Statement'!D11/12*1.5</f>
        <v>20357.8125</v>
      </c>
      <c r="E13" s="21">
        <f>'Income Statement'!E11/12*1.5</f>
        <v>42911.25</v>
      </c>
      <c r="F13" s="21">
        <f>'Income Statement'!F11/12*1.5</f>
        <v>83492.1875</v>
      </c>
      <c r="G13" s="21">
        <f>'Income Statement'!G11/12*1.5</f>
        <v>158281.25</v>
      </c>
    </row>
    <row r="14" spans="1:8" x14ac:dyDescent="0.35">
      <c r="A14" s="9" t="s">
        <v>133</v>
      </c>
      <c r="B14" s="30">
        <v>0</v>
      </c>
      <c r="C14" s="30">
        <v>15000</v>
      </c>
      <c r="D14" s="30">
        <v>40000</v>
      </c>
      <c r="E14" s="30">
        <v>80000</v>
      </c>
      <c r="F14" s="30">
        <v>130000</v>
      </c>
      <c r="G14" s="30">
        <v>200000</v>
      </c>
    </row>
    <row r="15" spans="1:8" x14ac:dyDescent="0.35">
      <c r="A15" s="9" t="s">
        <v>134</v>
      </c>
      <c r="B15" s="30">
        <v>5000</v>
      </c>
      <c r="C15" s="30">
        <v>20000</v>
      </c>
      <c r="D15" s="30">
        <v>35000</v>
      </c>
      <c r="E15" s="30">
        <v>55000</v>
      </c>
      <c r="F15" s="30">
        <v>80000</v>
      </c>
      <c r="G15" s="30">
        <v>110000</v>
      </c>
    </row>
    <row r="16" spans="1:8" x14ac:dyDescent="0.35">
      <c r="A16" s="17" t="s">
        <v>135</v>
      </c>
      <c r="B16" s="19">
        <f t="shared" ref="B16:G16" si="2">SUM(B13:B15)</f>
        <v>20000</v>
      </c>
      <c r="C16" s="19">
        <f t="shared" si="2"/>
        <v>43294.84375</v>
      </c>
      <c r="D16" s="19">
        <f t="shared" si="2"/>
        <v>95357.8125</v>
      </c>
      <c r="E16" s="19">
        <f t="shared" si="2"/>
        <v>177911.25</v>
      </c>
      <c r="F16" s="19">
        <f t="shared" si="2"/>
        <v>293492.1875</v>
      </c>
      <c r="G16" s="19">
        <f t="shared" si="2"/>
        <v>468281.25</v>
      </c>
    </row>
    <row r="18" spans="1:8" x14ac:dyDescent="0.35">
      <c r="A18" s="3" t="s">
        <v>136</v>
      </c>
      <c r="B18" s="4"/>
      <c r="C18" s="4"/>
      <c r="D18" s="4"/>
      <c r="E18" s="4"/>
      <c r="F18" s="4"/>
      <c r="G18" s="4"/>
      <c r="H18" s="4"/>
    </row>
    <row r="19" spans="1:8" x14ac:dyDescent="0.35">
      <c r="A19" s="9" t="s">
        <v>137</v>
      </c>
      <c r="B19" s="30">
        <v>920000</v>
      </c>
      <c r="C19" s="30">
        <v>920000</v>
      </c>
      <c r="D19" s="30">
        <v>920000</v>
      </c>
      <c r="E19" s="30">
        <v>920000</v>
      </c>
      <c r="F19" s="30">
        <v>920000</v>
      </c>
      <c r="G19" s="30">
        <v>920000</v>
      </c>
    </row>
    <row r="20" spans="1:8" x14ac:dyDescent="0.35">
      <c r="A20" s="9" t="s">
        <v>138</v>
      </c>
      <c r="B20" s="21">
        <v>0</v>
      </c>
      <c r="C20" s="21">
        <f>B20+'Income Statement'!C33</f>
        <v>-581901.25</v>
      </c>
      <c r="D20" s="21">
        <f>C20+'Income Statement'!D33</f>
        <v>-1000063.75</v>
      </c>
      <c r="E20" s="21">
        <f>D20+'Income Statement'!E33</f>
        <v>160041.75</v>
      </c>
      <c r="F20" s="21">
        <f>E20+'Income Statement'!F33</f>
        <v>5331197.375</v>
      </c>
      <c r="G20" s="21">
        <f>F20+'Income Statement'!G33</f>
        <v>20256814.875</v>
      </c>
    </row>
    <row r="21" spans="1:8" x14ac:dyDescent="0.35">
      <c r="A21" s="17" t="s">
        <v>139</v>
      </c>
      <c r="B21" s="19">
        <f t="shared" ref="B21:G21" si="3">B19+B20</f>
        <v>920000</v>
      </c>
      <c r="C21" s="19">
        <f t="shared" si="3"/>
        <v>338098.75</v>
      </c>
      <c r="D21" s="19">
        <f t="shared" si="3"/>
        <v>-80063.75</v>
      </c>
      <c r="E21" s="19">
        <f t="shared" si="3"/>
        <v>1080041.75</v>
      </c>
      <c r="F21" s="19">
        <f t="shared" si="3"/>
        <v>6251197.375</v>
      </c>
      <c r="G21" s="19">
        <f t="shared" si="3"/>
        <v>21176814.875</v>
      </c>
    </row>
    <row r="23" spans="1:8" x14ac:dyDescent="0.35">
      <c r="A23" s="23" t="s">
        <v>140</v>
      </c>
      <c r="B23" s="25">
        <f t="shared" ref="B23:G23" si="4">B16+B21</f>
        <v>940000</v>
      </c>
      <c r="C23" s="25">
        <f t="shared" si="4"/>
        <v>381393.59375</v>
      </c>
      <c r="D23" s="25">
        <f t="shared" si="4"/>
        <v>15294.0625</v>
      </c>
      <c r="E23" s="25">
        <f t="shared" si="4"/>
        <v>1257953</v>
      </c>
      <c r="F23" s="25">
        <f t="shared" si="4"/>
        <v>6544689.5625</v>
      </c>
      <c r="G23" s="25">
        <f t="shared" si="4"/>
        <v>21645096.125</v>
      </c>
    </row>
    <row r="25" spans="1:8" x14ac:dyDescent="0.35">
      <c r="A25" s="36" t="s">
        <v>141</v>
      </c>
      <c r="B25" s="37">
        <f t="shared" ref="B25:G25" si="5">B10-B23</f>
        <v>340000</v>
      </c>
      <c r="C25" s="37">
        <f t="shared" si="5"/>
        <v>369096.82291666663</v>
      </c>
      <c r="D25" s="37">
        <f t="shared" si="5"/>
        <v>530392.1875</v>
      </c>
      <c r="E25" s="37">
        <f t="shared" si="5"/>
        <v>1060688.75</v>
      </c>
      <c r="F25" s="37">
        <f t="shared" si="5"/>
        <v>2159424.4791666679</v>
      </c>
      <c r="G25" s="37">
        <f t="shared" si="5"/>
        <v>4623385.4166666679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400"/>
  </sheetPr>
  <dimension ref="A1:H20"/>
  <sheetViews>
    <sheetView zoomScaleNormal="100" workbookViewId="0"/>
  </sheetViews>
  <sheetFormatPr defaultColWidth="8.6328125" defaultRowHeight="14.5" x14ac:dyDescent="0.35"/>
  <cols>
    <col min="1" max="1" width="40" customWidth="1"/>
    <col min="2" max="7" width="18" customWidth="1"/>
  </cols>
  <sheetData>
    <row r="1" spans="1:8" ht="18" x14ac:dyDescent="0.4">
      <c r="A1" s="1" t="s">
        <v>142</v>
      </c>
    </row>
    <row r="2" spans="1:8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5">
      <c r="A3" s="3" t="s">
        <v>143</v>
      </c>
      <c r="B3" s="4"/>
      <c r="C3" s="4"/>
      <c r="D3" s="4"/>
      <c r="E3" s="4"/>
      <c r="F3" s="4"/>
      <c r="G3" s="4"/>
      <c r="H3" s="4"/>
    </row>
    <row r="4" spans="1:8" x14ac:dyDescent="0.35">
      <c r="A4" s="14" t="s">
        <v>144</v>
      </c>
      <c r="B4" s="16">
        <f>'Income Statement'!B33</f>
        <v>-65000</v>
      </c>
      <c r="C4" s="16">
        <f>'Income Statement'!C33</f>
        <v>-581901.25</v>
      </c>
      <c r="D4" s="16">
        <f>'Income Statement'!D33</f>
        <v>-418162.5</v>
      </c>
      <c r="E4" s="16">
        <f>'Income Statement'!E33</f>
        <v>1160105.5</v>
      </c>
      <c r="F4" s="16">
        <f>'Income Statement'!F33</f>
        <v>5171155.625</v>
      </c>
      <c r="G4" s="16">
        <f>'Income Statement'!G33</f>
        <v>14925617.5</v>
      </c>
    </row>
    <row r="5" spans="1:8" x14ac:dyDescent="0.35">
      <c r="A5" s="14" t="s">
        <v>145</v>
      </c>
      <c r="B5" s="16">
        <f>'Income Statement'!B28</f>
        <v>0</v>
      </c>
      <c r="C5" s="16">
        <f>'Income Statement'!C28</f>
        <v>36000</v>
      </c>
      <c r="D5" s="16">
        <f>'Income Statement'!D28</f>
        <v>50000</v>
      </c>
      <c r="E5" s="16">
        <f>'Income Statement'!E28</f>
        <v>40000</v>
      </c>
      <c r="F5" s="16">
        <f>'Income Statement'!F28</f>
        <v>60000</v>
      </c>
      <c r="G5" s="16">
        <f>'Income Statement'!G28</f>
        <v>80000</v>
      </c>
    </row>
    <row r="6" spans="1:8" x14ac:dyDescent="0.35">
      <c r="A6" s="9" t="s">
        <v>146</v>
      </c>
      <c r="B6" s="30">
        <v>-30000</v>
      </c>
      <c r="C6" s="21">
        <f>-('Balance Sheet'!C5-'Balance Sheet'!B5)+('Balance Sheet'!C13-'Balance Sheet'!B13)+('Balance Sheet'!C14-'Balance Sheet'!B14)+('Balance Sheet'!C15-'Balance Sheet'!B15)-('Balance Sheet'!C6-'Balance Sheet'!B6)</f>
        <v>-29096.822916666664</v>
      </c>
      <c r="D6" s="21">
        <f>-('Balance Sheet'!D5-'Balance Sheet'!C5)+('Balance Sheet'!D13-'Balance Sheet'!C13)+('Balance Sheet'!D14-'Balance Sheet'!C14)+('Balance Sheet'!D15-'Balance Sheet'!C15)-('Balance Sheet'!D6-'Balance Sheet'!C6)</f>
        <v>-161295.36458333334</v>
      </c>
      <c r="E6" s="21">
        <f>-('Balance Sheet'!E5-'Balance Sheet'!D5)+('Balance Sheet'!E13-'Balance Sheet'!D13)+('Balance Sheet'!E14-'Balance Sheet'!D14)+('Balance Sheet'!E15-'Balance Sheet'!D15)-('Balance Sheet'!E6-'Balance Sheet'!D6)</f>
        <v>-530296.5625</v>
      </c>
      <c r="F6" s="21">
        <f>-('Balance Sheet'!F5-'Balance Sheet'!E5)+('Balance Sheet'!F13-'Balance Sheet'!E13)+('Balance Sheet'!F14-'Balance Sheet'!E14)+('Balance Sheet'!F15-'Balance Sheet'!E15)-('Balance Sheet'!F6-'Balance Sheet'!E6)</f>
        <v>-1098735.7291666667</v>
      </c>
      <c r="G6" s="21">
        <f>-('Balance Sheet'!G5-'Balance Sheet'!F5)+('Balance Sheet'!G13-'Balance Sheet'!F13)+('Balance Sheet'!G14-'Balance Sheet'!F14)+('Balance Sheet'!G15-'Balance Sheet'!F15)-('Balance Sheet'!G6-'Balance Sheet'!F6)</f>
        <v>-2463960.9375</v>
      </c>
    </row>
    <row r="7" spans="1:8" x14ac:dyDescent="0.35">
      <c r="A7" s="17" t="s">
        <v>147</v>
      </c>
      <c r="B7" s="19">
        <f t="shared" ref="B7:G7" si="0">SUM(B4:B6)</f>
        <v>-95000</v>
      </c>
      <c r="C7" s="19">
        <f t="shared" si="0"/>
        <v>-574998.07291666663</v>
      </c>
      <c r="D7" s="19">
        <f t="shared" si="0"/>
        <v>-529457.86458333337</v>
      </c>
      <c r="E7" s="19">
        <f t="shared" si="0"/>
        <v>669808.9375</v>
      </c>
      <c r="F7" s="19">
        <f t="shared" si="0"/>
        <v>4132419.895833333</v>
      </c>
      <c r="G7" s="19">
        <f t="shared" si="0"/>
        <v>12541656.5625</v>
      </c>
    </row>
    <row r="9" spans="1:8" x14ac:dyDescent="0.35">
      <c r="A9" s="3" t="s">
        <v>148</v>
      </c>
      <c r="B9" s="4"/>
      <c r="C9" s="4"/>
      <c r="D9" s="4"/>
      <c r="E9" s="4"/>
      <c r="F9" s="4"/>
      <c r="G9" s="4"/>
      <c r="H9" s="4"/>
    </row>
    <row r="10" spans="1:8" x14ac:dyDescent="0.35">
      <c r="A10" s="14" t="s">
        <v>149</v>
      </c>
      <c r="B10" s="16">
        <f>-Assumptions!B43</f>
        <v>-350000</v>
      </c>
      <c r="C10" s="16">
        <f>-Assumptions!C43</f>
        <v>-180000</v>
      </c>
      <c r="D10" s="16">
        <f>-Assumptions!D43</f>
        <v>-250000</v>
      </c>
      <c r="E10" s="16">
        <f>-Assumptions!E43</f>
        <v>-200000</v>
      </c>
      <c r="F10" s="16">
        <f>-Assumptions!F43</f>
        <v>-300000</v>
      </c>
      <c r="G10" s="16">
        <f>-Assumptions!G43</f>
        <v>-400000</v>
      </c>
    </row>
    <row r="11" spans="1:8" x14ac:dyDescent="0.35">
      <c r="A11" s="17" t="s">
        <v>150</v>
      </c>
      <c r="B11" s="19">
        <f t="shared" ref="B11:G11" si="1">B10</f>
        <v>-350000</v>
      </c>
      <c r="C11" s="19">
        <f t="shared" si="1"/>
        <v>-180000</v>
      </c>
      <c r="D11" s="19">
        <f t="shared" si="1"/>
        <v>-250000</v>
      </c>
      <c r="E11" s="19">
        <f t="shared" si="1"/>
        <v>-200000</v>
      </c>
      <c r="F11" s="19">
        <f t="shared" si="1"/>
        <v>-300000</v>
      </c>
      <c r="G11" s="19">
        <f t="shared" si="1"/>
        <v>-400000</v>
      </c>
    </row>
    <row r="13" spans="1:8" x14ac:dyDescent="0.35">
      <c r="A13" s="3" t="s">
        <v>151</v>
      </c>
      <c r="B13" s="4"/>
      <c r="C13" s="4"/>
      <c r="D13" s="4"/>
      <c r="E13" s="4"/>
      <c r="F13" s="4"/>
      <c r="G13" s="4"/>
      <c r="H13" s="4"/>
    </row>
    <row r="14" spans="1:8" x14ac:dyDescent="0.35">
      <c r="A14" s="9" t="s">
        <v>152</v>
      </c>
      <c r="B14" s="30">
        <v>920000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</row>
    <row r="15" spans="1:8" x14ac:dyDescent="0.35">
      <c r="A15" s="17" t="s">
        <v>153</v>
      </c>
      <c r="B15" s="19">
        <f t="shared" ref="B15:G15" si="2">B14</f>
        <v>920000</v>
      </c>
      <c r="C15" s="19">
        <f t="shared" si="2"/>
        <v>0</v>
      </c>
      <c r="D15" s="19">
        <f t="shared" si="2"/>
        <v>0</v>
      </c>
      <c r="E15" s="19">
        <f t="shared" si="2"/>
        <v>0</v>
      </c>
      <c r="F15" s="19">
        <f t="shared" si="2"/>
        <v>0</v>
      </c>
      <c r="G15" s="19">
        <f t="shared" si="2"/>
        <v>0</v>
      </c>
    </row>
    <row r="17" spans="1:7" x14ac:dyDescent="0.35">
      <c r="A17" s="23" t="s">
        <v>154</v>
      </c>
      <c r="B17" s="25">
        <f t="shared" ref="B17:G17" si="3">B7+B11+B15</f>
        <v>475000</v>
      </c>
      <c r="C17" s="25">
        <f t="shared" si="3"/>
        <v>-754998.07291666663</v>
      </c>
      <c r="D17" s="25">
        <f t="shared" si="3"/>
        <v>-779457.86458333337</v>
      </c>
      <c r="E17" s="25">
        <f t="shared" si="3"/>
        <v>469808.9375</v>
      </c>
      <c r="F17" s="25">
        <f t="shared" si="3"/>
        <v>3832419.895833333</v>
      </c>
      <c r="G17" s="25">
        <f t="shared" si="3"/>
        <v>12141656.5625</v>
      </c>
    </row>
    <row r="19" spans="1:7" x14ac:dyDescent="0.35">
      <c r="A19" s="9" t="s">
        <v>155</v>
      </c>
      <c r="B19" s="21">
        <v>0</v>
      </c>
      <c r="C19" s="21">
        <f>B20</f>
        <v>475000</v>
      </c>
      <c r="D19" s="21">
        <f>C20</f>
        <v>-279998.07291666663</v>
      </c>
      <c r="E19" s="21">
        <f>D20</f>
        <v>-1059455.9375</v>
      </c>
      <c r="F19" s="21">
        <f>E20</f>
        <v>-589647</v>
      </c>
      <c r="G19" s="21">
        <f>F20</f>
        <v>3242772.895833333</v>
      </c>
    </row>
    <row r="20" spans="1:7" x14ac:dyDescent="0.35">
      <c r="A20" s="38" t="s">
        <v>156</v>
      </c>
      <c r="B20" s="39">
        <f t="shared" ref="B20:G20" si="4">B19+B17</f>
        <v>475000</v>
      </c>
      <c r="C20" s="39">
        <f t="shared" si="4"/>
        <v>-279998.07291666663</v>
      </c>
      <c r="D20" s="39">
        <f t="shared" si="4"/>
        <v>-1059455.9375</v>
      </c>
      <c r="E20" s="39">
        <f t="shared" si="4"/>
        <v>-589647</v>
      </c>
      <c r="F20" s="39">
        <f t="shared" si="4"/>
        <v>3242772.895833333</v>
      </c>
      <c r="G20" s="39">
        <f t="shared" si="4"/>
        <v>15384429.458333332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8C00"/>
  </sheetPr>
  <dimension ref="A1:H25"/>
  <sheetViews>
    <sheetView topLeftCell="A8" zoomScaleNormal="100" workbookViewId="0">
      <selection activeCell="G11" sqref="G11"/>
    </sheetView>
  </sheetViews>
  <sheetFormatPr defaultColWidth="8.6328125" defaultRowHeight="14.5" x14ac:dyDescent="0.35"/>
  <cols>
    <col min="1" max="1" width="40" customWidth="1"/>
    <col min="2" max="7" width="18" customWidth="1"/>
  </cols>
  <sheetData>
    <row r="1" spans="1:8" ht="18" x14ac:dyDescent="0.4">
      <c r="A1" s="1" t="s">
        <v>157</v>
      </c>
    </row>
    <row r="2" spans="1:8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5">
      <c r="A3" s="3" t="s">
        <v>158</v>
      </c>
      <c r="B3" s="4"/>
      <c r="C3" s="4"/>
      <c r="D3" s="4"/>
      <c r="E3" s="4"/>
      <c r="F3" s="4"/>
      <c r="G3" s="4"/>
      <c r="H3" s="4"/>
    </row>
    <row r="4" spans="1:8" x14ac:dyDescent="0.35">
      <c r="A4" s="14" t="s">
        <v>147</v>
      </c>
      <c r="B4" s="16">
        <f>'Cash Flow'!B7</f>
        <v>-95000</v>
      </c>
      <c r="C4" s="16">
        <f>'Cash Flow'!C7</f>
        <v>-574998.07291666663</v>
      </c>
      <c r="D4" s="16">
        <f>'Cash Flow'!D7</f>
        <v>-529457.86458333337</v>
      </c>
      <c r="E4" s="16">
        <f>'Cash Flow'!E7</f>
        <v>669808.9375</v>
      </c>
      <c r="F4" s="16">
        <f>'Cash Flow'!F7</f>
        <v>4132419.895833333</v>
      </c>
      <c r="G4" s="16">
        <f>'Cash Flow'!G7</f>
        <v>12541656.5625</v>
      </c>
    </row>
    <row r="5" spans="1:8" x14ac:dyDescent="0.35">
      <c r="A5" s="14" t="s">
        <v>149</v>
      </c>
      <c r="B5" s="16">
        <f>'Cash Flow'!B10</f>
        <v>-350000</v>
      </c>
      <c r="C5" s="16">
        <f>'Cash Flow'!C10</f>
        <v>-180000</v>
      </c>
      <c r="D5" s="16">
        <f>'Cash Flow'!D10</f>
        <v>-250000</v>
      </c>
      <c r="E5" s="16">
        <f>'Cash Flow'!E10</f>
        <v>-200000</v>
      </c>
      <c r="F5" s="16">
        <f>'Cash Flow'!F10</f>
        <v>-300000</v>
      </c>
      <c r="G5" s="16">
        <f>'Cash Flow'!G10</f>
        <v>-400000</v>
      </c>
    </row>
    <row r="6" spans="1:8" x14ac:dyDescent="0.35">
      <c r="A6" s="17" t="s">
        <v>159</v>
      </c>
      <c r="B6" s="19">
        <f t="shared" ref="B6:G6" si="0">B4+B5</f>
        <v>-445000</v>
      </c>
      <c r="C6" s="19">
        <f t="shared" si="0"/>
        <v>-754998.07291666663</v>
      </c>
      <c r="D6" s="19">
        <f t="shared" si="0"/>
        <v>-779457.86458333337</v>
      </c>
      <c r="E6" s="19">
        <f t="shared" si="0"/>
        <v>469808.9375</v>
      </c>
      <c r="F6" s="19">
        <f t="shared" si="0"/>
        <v>3832419.895833333</v>
      </c>
      <c r="G6" s="19">
        <f t="shared" si="0"/>
        <v>12141656.5625</v>
      </c>
    </row>
    <row r="8" spans="1:8" x14ac:dyDescent="0.35">
      <c r="A8" s="3" t="s">
        <v>160</v>
      </c>
      <c r="B8" s="4"/>
      <c r="C8" s="4"/>
      <c r="D8" s="4"/>
      <c r="E8" s="4"/>
      <c r="F8" s="4"/>
      <c r="G8" s="4"/>
      <c r="H8" s="4"/>
    </row>
    <row r="9" spans="1:8" x14ac:dyDescent="0.35">
      <c r="A9" s="11" t="s">
        <v>161</v>
      </c>
      <c r="B9" s="16">
        <f>-Assumptions!B44</f>
        <v>-920000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</row>
    <row r="10" spans="1:8" x14ac:dyDescent="0.35">
      <c r="A10" s="9" t="s">
        <v>162</v>
      </c>
      <c r="B10" s="21">
        <f t="shared" ref="B10:G10" si="1">B6</f>
        <v>-445000</v>
      </c>
      <c r="C10" s="21">
        <f t="shared" si="1"/>
        <v>-754998.07291666663</v>
      </c>
      <c r="D10" s="21">
        <f t="shared" si="1"/>
        <v>-779457.86458333337</v>
      </c>
      <c r="E10" s="21">
        <f t="shared" si="1"/>
        <v>469808.9375</v>
      </c>
      <c r="F10" s="21">
        <f t="shared" si="1"/>
        <v>3832419.895833333</v>
      </c>
      <c r="G10" s="21">
        <f t="shared" si="1"/>
        <v>12141656.5625</v>
      </c>
    </row>
    <row r="11" spans="1:8" x14ac:dyDescent="0.35">
      <c r="A11" s="9" t="s">
        <v>163</v>
      </c>
      <c r="G11" s="30">
        <f>'Income Statement'!G25*$B$16</f>
        <v>176395500</v>
      </c>
    </row>
    <row r="12" spans="1:8" x14ac:dyDescent="0.35">
      <c r="A12" s="17" t="s">
        <v>164</v>
      </c>
      <c r="B12" s="19">
        <f>B9</f>
        <v>-920000</v>
      </c>
      <c r="C12" s="19">
        <f>C10</f>
        <v>-754998.07291666663</v>
      </c>
      <c r="D12" s="19">
        <f>D10</f>
        <v>-779457.86458333337</v>
      </c>
      <c r="E12" s="19">
        <f>E10</f>
        <v>469808.9375</v>
      </c>
      <c r="F12" s="19">
        <f>F10</f>
        <v>3832419.895833333</v>
      </c>
      <c r="G12" s="19">
        <f>G10+G11</f>
        <v>188537156.5625</v>
      </c>
    </row>
    <row r="14" spans="1:8" ht="15.5" x14ac:dyDescent="0.35">
      <c r="A14" s="40" t="s">
        <v>165</v>
      </c>
      <c r="B14" s="41">
        <f>IRR(B12:G12)</f>
        <v>1.7456725007021516</v>
      </c>
    </row>
    <row r="16" spans="1:8" x14ac:dyDescent="0.35">
      <c r="A16" s="9" t="s">
        <v>166</v>
      </c>
      <c r="B16" s="42">
        <v>10</v>
      </c>
    </row>
    <row r="17" spans="1:8" x14ac:dyDescent="0.35">
      <c r="A17" s="9" t="s">
        <v>167</v>
      </c>
      <c r="B17" s="43">
        <f>G11/(-B9)</f>
        <v>191.73423913043479</v>
      </c>
    </row>
    <row r="19" spans="1:8" x14ac:dyDescent="0.35">
      <c r="A19" s="3" t="s">
        <v>168</v>
      </c>
      <c r="B19" s="4"/>
      <c r="C19" s="4"/>
      <c r="D19" s="4"/>
      <c r="E19" s="4"/>
      <c r="F19" s="4"/>
      <c r="G19" s="4"/>
      <c r="H19" s="4"/>
    </row>
    <row r="20" spans="1:8" x14ac:dyDescent="0.35">
      <c r="A20" s="14" t="s">
        <v>169</v>
      </c>
      <c r="C20" s="15">
        <f>Assumptions!C8</f>
        <v>800</v>
      </c>
      <c r="D20" s="15">
        <f>Assumptions!D8</f>
        <v>920</v>
      </c>
      <c r="E20" s="15">
        <f>Assumptions!E8</f>
        <v>1058</v>
      </c>
      <c r="F20" s="15">
        <f>Assumptions!F8</f>
        <v>1217</v>
      </c>
      <c r="G20" s="15">
        <f>Assumptions!G8</f>
        <v>1400</v>
      </c>
    </row>
    <row r="21" spans="1:8" x14ac:dyDescent="0.35">
      <c r="A21" s="9" t="s">
        <v>170</v>
      </c>
      <c r="C21" s="44">
        <f>'Revenue Detail'!C36/1000000</f>
        <v>0.25435000000000002</v>
      </c>
      <c r="D21" s="44">
        <f>'Revenue Detail'!D36/1000000</f>
        <v>1.4744999999999999</v>
      </c>
      <c r="E21" s="44">
        <f>'Revenue Detail'!E36/1000000</f>
        <v>5.0915999999999997</v>
      </c>
      <c r="F21" s="44">
        <f>'Revenue Detail'!F36/1000000</f>
        <v>12.317500000000001</v>
      </c>
      <c r="G21" s="44">
        <f>'Revenue Detail'!G36/1000000</f>
        <v>28.09</v>
      </c>
    </row>
    <row r="22" spans="1:8" x14ac:dyDescent="0.35">
      <c r="A22" s="45" t="s">
        <v>171</v>
      </c>
      <c r="B22" s="46"/>
      <c r="C22" s="47">
        <f>IF(C20=0,0,C21/C20)</f>
        <v>3.1793750000000002E-4</v>
      </c>
      <c r="D22" s="47">
        <f>IF(D20=0,0,D21/D20)</f>
        <v>1.6027173913043477E-3</v>
      </c>
      <c r="E22" s="47">
        <f>IF(E20=0,0,E21/E20)</f>
        <v>4.8124763705103971E-3</v>
      </c>
      <c r="F22" s="47">
        <f>IF(F20=0,0,F21/F20)</f>
        <v>1.0121199671322925E-2</v>
      </c>
      <c r="G22" s="47">
        <f>IF(G20=0,0,G21/G20)</f>
        <v>2.0064285714285715E-2</v>
      </c>
    </row>
    <row r="24" spans="1:8" x14ac:dyDescent="0.35">
      <c r="A24" s="9" t="s">
        <v>172</v>
      </c>
      <c r="C24" s="48">
        <v>18.2</v>
      </c>
      <c r="D24" s="48">
        <v>19</v>
      </c>
      <c r="E24" s="48">
        <v>19.5</v>
      </c>
      <c r="F24" s="48">
        <v>20</v>
      </c>
      <c r="G24" s="48">
        <v>20.5</v>
      </c>
    </row>
    <row r="25" spans="1:8" x14ac:dyDescent="0.35">
      <c r="A25" s="9" t="s">
        <v>173</v>
      </c>
      <c r="C25" s="27">
        <f>IF(C24=0,0,C21/C24)</f>
        <v>1.3975274725274727E-2</v>
      </c>
      <c r="D25" s="27">
        <f>IF(D24=0,0,D21/D24)</f>
        <v>7.7605263157894733E-2</v>
      </c>
      <c r="E25" s="27">
        <f>IF(E24=0,0,E21/E24)</f>
        <v>0.26110769230769232</v>
      </c>
      <c r="F25" s="27">
        <f>IF(F24=0,0,F21/F24)</f>
        <v>0.61587500000000006</v>
      </c>
      <c r="G25" s="27">
        <f>IF(G24=0,0,G21/G24)</f>
        <v>1.3702439024390243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Revenue Detail</vt:lpstr>
      <vt:lpstr>Income Statement</vt:lpstr>
      <vt:lpstr>Balance Sheet</vt:lpstr>
      <vt:lpstr>Cash Flow</vt:lpstr>
      <vt:lpstr>IRR &amp;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Pedro Barros de Ávila</cp:lastModifiedBy>
  <cp:revision>0</cp:revision>
  <dcterms:created xsi:type="dcterms:W3CDTF">2026-03-08T19:31:48Z</dcterms:created>
  <dcterms:modified xsi:type="dcterms:W3CDTF">2026-03-09T00:36:48Z</dcterms:modified>
  <dc:language>en-US</dc:language>
</cp:coreProperties>
</file>